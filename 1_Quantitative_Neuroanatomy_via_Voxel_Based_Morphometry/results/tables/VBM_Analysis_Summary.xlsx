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eep (all ROIs)" sheetId="1" state="visible" r:id="rId1"/>
    <sheet name="Sleep (sig. ROIs)" sheetId="2" state="visible" r:id="rId2"/>
    <sheet name="Cognition (all ROIs)" sheetId="3" state="visible" r:id="rId3"/>
    <sheet name="Cognition (sig. ROIs)" sheetId="4" state="visible" r:id="rId4"/>
    <sheet name="Neuroticism Thck (all)" sheetId="5" state="visible" r:id="rId5"/>
    <sheet name="Neuroticism Thck (sig.)" sheetId="6" state="visible" r:id="rId6"/>
    <sheet name="Neuroticism Area (all)" sheetId="7" state="visible" r:id="rId7"/>
    <sheet name="Neuroticism Area (sig.)" sheetId="8" state="visible" r:id="rId8"/>
    <sheet name="AABC Thick Corr (all)" sheetId="9" state="visible" r:id="rId9"/>
    <sheet name="AABC Thick Corr (sig.)" sheetId="10" state="visible" r:id="rId10"/>
    <sheet name="AABC Vol Corr (all)" sheetId="11" state="visible" r:id="rId11"/>
    <sheet name="AABC Vol Corr (sig.)" sheetId="12" state="visible" r:id="rId12"/>
    <sheet name="AABC ANOVA (thick)" sheetId="13" state="visible" r:id="rId13"/>
    <sheet name="AABC ANOVA (vol)" sheetId="14" state="visible" r:id="rId14"/>
    <sheet name="Atlas DK→Glasser map" sheetId="15" state="visible" r:id="rId15"/>
    <sheet name="Atlas cross-dataset summary" sheetId="16" state="visible" r:id="rId16"/>
    <sheet name="AABC Sleep (all ROIs)" sheetId="17" state="visible" r:id="rId17"/>
    <sheet name="AABC Sleep (sig. ROIs)" sheetId="18" state="visible" r:id="rId18"/>
    <sheet name="AABC Neuro Thck (all)" sheetId="19" state="visible" r:id="rId19"/>
    <sheet name="AABC Neuro Thck (sig.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Welch t-test (good sleepers PSQI≤5 vs. poor sleepers PSQI&gt;5). FDR correction: Benjamini–Hochberg (q&lt;.05). Effect size: Cohen's d.</t>
        </is>
      </c>
    </row>
    <row r="3">
      <c r="A3" s="1" t="inlineStr">
        <is>
          <t>ROI</t>
        </is>
      </c>
      <c r="B3" s="1" t="inlineStr">
        <is>
          <t>t</t>
        </is>
      </c>
      <c r="C3" s="1" t="inlineStr">
        <is>
          <t>df</t>
        </is>
      </c>
      <c r="D3" s="1" t="inlineStr">
        <is>
          <t>p</t>
        </is>
      </c>
      <c r="E3" s="1" t="inlineStr">
        <is>
          <t>d</t>
        </is>
      </c>
      <c r="F3" s="1" t="inlineStr">
        <is>
          <t>95% CI [d]</t>
        </is>
      </c>
      <c r="G3" s="1" t="inlineStr">
        <is>
          <t>p_FDR</t>
        </is>
      </c>
      <c r="H3" s="1" t="inlineStr">
        <is>
          <t>FDR sig.</t>
        </is>
      </c>
    </row>
    <row r="4">
      <c r="A4" t="inlineStr">
        <is>
          <t>L Bankssts</t>
        </is>
      </c>
      <c r="B4" t="n">
        <v>-0.39</v>
      </c>
      <c r="C4" t="n">
        <v>1102</v>
      </c>
      <c r="D4">
        <f> 0.700</f>
        <v/>
      </c>
      <c r="E4" t="n">
        <v>-0.02</v>
      </c>
      <c r="F4" t="inlineStr">
        <is>
          <t>[-0.15, 0.10]</t>
        </is>
      </c>
      <c r="G4">
        <f> 0.951</f>
        <v/>
      </c>
      <c r="H4" t="inlineStr"/>
    </row>
    <row r="5">
      <c r="A5" t="inlineStr">
        <is>
          <t>L Caudalanteriorcingulate</t>
        </is>
      </c>
      <c r="B5" t="n">
        <v>1.39</v>
      </c>
      <c r="C5" t="n">
        <v>1102</v>
      </c>
      <c r="D5">
        <f> 0.166</f>
        <v/>
      </c>
      <c r="E5" t="n">
        <v>0.09</v>
      </c>
      <c r="F5" t="inlineStr">
        <is>
          <t>[-0.04, 0.22]</t>
        </is>
      </c>
      <c r="G5">
        <f> 0.951</f>
        <v/>
      </c>
      <c r="H5" t="inlineStr"/>
    </row>
    <row r="6">
      <c r="A6" t="inlineStr">
        <is>
          <t>L Caudalmiddlefrontal</t>
        </is>
      </c>
      <c r="B6" t="n">
        <v>-0.7</v>
      </c>
      <c r="C6" t="n">
        <v>1102</v>
      </c>
      <c r="D6">
        <f> 0.483</f>
        <v/>
      </c>
      <c r="E6" t="n">
        <v>-0.05</v>
      </c>
      <c r="F6" t="inlineStr">
        <is>
          <t>[-0.17, 0.08]</t>
        </is>
      </c>
      <c r="G6">
        <f> 0.951</f>
        <v/>
      </c>
      <c r="H6" t="inlineStr"/>
    </row>
    <row r="7">
      <c r="A7" t="inlineStr">
        <is>
          <t>L Cuneus</t>
        </is>
      </c>
      <c r="B7" t="n">
        <v>1.3</v>
      </c>
      <c r="C7" t="n">
        <v>1102</v>
      </c>
      <c r="D7">
        <f> 0.193</f>
        <v/>
      </c>
      <c r="E7" t="n">
        <v>0.08</v>
      </c>
      <c r="F7" t="inlineStr">
        <is>
          <t>[-0.04, 0.21]</t>
        </is>
      </c>
      <c r="G7">
        <f> 0.951</f>
        <v/>
      </c>
      <c r="H7" t="inlineStr"/>
    </row>
    <row r="8">
      <c r="A8" t="inlineStr">
        <is>
          <t>L Entorhinal</t>
        </is>
      </c>
      <c r="B8" t="n">
        <v>3.16</v>
      </c>
      <c r="C8" t="n">
        <v>1102</v>
      </c>
      <c r="D8">
        <f> 0.002</f>
        <v/>
      </c>
      <c r="E8" t="n">
        <v>0.2</v>
      </c>
      <c r="F8" t="inlineStr">
        <is>
          <t>[0.08, 0.33]</t>
        </is>
      </c>
      <c r="G8">
        <f> 0.037</f>
        <v/>
      </c>
      <c r="H8" t="inlineStr">
        <is>
          <t>✓</t>
        </is>
      </c>
    </row>
    <row r="9">
      <c r="A9" t="inlineStr">
        <is>
          <t>L Fusiform</t>
        </is>
      </c>
      <c r="B9" t="n">
        <v>0.64</v>
      </c>
      <c r="C9" t="n">
        <v>1102</v>
      </c>
      <c r="D9">
        <f> 0.520</f>
        <v/>
      </c>
      <c r="E9" t="n">
        <v>0.04</v>
      </c>
      <c r="F9" t="inlineStr">
        <is>
          <t>[-0.09, 0.17]</t>
        </is>
      </c>
      <c r="G9">
        <f> 0.951</f>
        <v/>
      </c>
      <c r="H9" t="inlineStr"/>
    </row>
    <row r="10">
      <c r="A10" t="inlineStr">
        <is>
          <t>L Inferiorparietal</t>
        </is>
      </c>
      <c r="B10" t="n">
        <v>-0.24</v>
      </c>
      <c r="C10" t="n">
        <v>1102</v>
      </c>
      <c r="D10">
        <f> 0.811</f>
        <v/>
      </c>
      <c r="E10" t="n">
        <v>-0.02</v>
      </c>
      <c r="F10" t="inlineStr">
        <is>
          <t>[-0.14, 0.11]</t>
        </is>
      </c>
      <c r="G10">
        <f> 0.951</f>
        <v/>
      </c>
      <c r="H10" t="inlineStr"/>
    </row>
    <row r="11">
      <c r="A11" t="inlineStr">
        <is>
          <t>L Inferiortemporal</t>
        </is>
      </c>
      <c r="B11" t="n">
        <v>0.18</v>
      </c>
      <c r="C11" t="n">
        <v>1102</v>
      </c>
      <c r="D11">
        <f> 0.857</f>
        <v/>
      </c>
      <c r="E11" t="n">
        <v>0.01</v>
      </c>
      <c r="F11" t="inlineStr">
        <is>
          <t>[-0.12, 0.14]</t>
        </is>
      </c>
      <c r="G11">
        <f> 0.953</f>
        <v/>
      </c>
      <c r="H11" t="inlineStr"/>
    </row>
    <row r="12">
      <c r="A12" t="inlineStr">
        <is>
          <t>L Isthmuscingulate</t>
        </is>
      </c>
      <c r="B12" t="n">
        <v>0.96</v>
      </c>
      <c r="C12" t="n">
        <v>1102</v>
      </c>
      <c r="D12">
        <f> 0.338</f>
        <v/>
      </c>
      <c r="E12" t="n">
        <v>0.06</v>
      </c>
      <c r="F12" t="inlineStr">
        <is>
          <t>[-0.06, 0.19]</t>
        </is>
      </c>
      <c r="G12">
        <f> 0.951</f>
        <v/>
      </c>
      <c r="H12" t="inlineStr"/>
    </row>
    <row r="13">
      <c r="A13" t="inlineStr">
        <is>
          <t>L Lateraloccipital</t>
        </is>
      </c>
      <c r="B13" t="n">
        <v>0.92</v>
      </c>
      <c r="C13" t="n">
        <v>1102</v>
      </c>
      <c r="D13">
        <f> 0.357</f>
        <v/>
      </c>
      <c r="E13" t="n">
        <v>0.06</v>
      </c>
      <c r="F13" t="inlineStr">
        <is>
          <t>[-0.07, 0.19]</t>
        </is>
      </c>
      <c r="G13">
        <f> 0.951</f>
        <v/>
      </c>
      <c r="H13" t="inlineStr"/>
    </row>
    <row r="14">
      <c r="A14" t="inlineStr">
        <is>
          <t>L Lateralorbitofrontal</t>
        </is>
      </c>
      <c r="B14" t="n">
        <v>0.29</v>
      </c>
      <c r="C14" t="n">
        <v>1102</v>
      </c>
      <c r="D14">
        <f> 0.772</f>
        <v/>
      </c>
      <c r="E14" t="n">
        <v>0.02</v>
      </c>
      <c r="F14" t="inlineStr">
        <is>
          <t>[-0.11, 0.15]</t>
        </is>
      </c>
      <c r="G14">
        <f> 0.951</f>
        <v/>
      </c>
      <c r="H14" t="inlineStr"/>
    </row>
    <row r="15">
      <c r="A15" t="inlineStr">
        <is>
          <t>L Lingual</t>
        </is>
      </c>
      <c r="B15" t="n">
        <v>0.8</v>
      </c>
      <c r="C15" t="n">
        <v>1102</v>
      </c>
      <c r="D15">
        <f> 0.425</f>
        <v/>
      </c>
      <c r="E15" t="n">
        <v>0.05</v>
      </c>
      <c r="F15" t="inlineStr">
        <is>
          <t>[-0.08, 0.18]</t>
        </is>
      </c>
      <c r="G15">
        <f> 0.951</f>
        <v/>
      </c>
      <c r="H15" t="inlineStr"/>
    </row>
    <row r="16">
      <c r="A16" t="inlineStr">
        <is>
          <t>L Medialorbitofrontal</t>
        </is>
      </c>
      <c r="B16" t="n">
        <v>-0.35</v>
      </c>
      <c r="C16" t="n">
        <v>1102</v>
      </c>
      <c r="D16">
        <f> 0.724</f>
        <v/>
      </c>
      <c r="E16" t="n">
        <v>-0.02</v>
      </c>
      <c r="F16" t="inlineStr">
        <is>
          <t>[-0.15, 0.10]</t>
        </is>
      </c>
      <c r="G16">
        <f> 0.951</f>
        <v/>
      </c>
      <c r="H16" t="inlineStr"/>
    </row>
    <row r="17">
      <c r="A17" t="inlineStr">
        <is>
          <t>L Middletemporal</t>
        </is>
      </c>
      <c r="B17" t="n">
        <v>0.26</v>
      </c>
      <c r="C17" t="n">
        <v>1102</v>
      </c>
      <c r="D17">
        <f> 0.791</f>
        <v/>
      </c>
      <c r="E17" t="n">
        <v>0.02</v>
      </c>
      <c r="F17" t="inlineStr">
        <is>
          <t>[-0.11, 0.14]</t>
        </is>
      </c>
      <c r="G17">
        <f> 0.951</f>
        <v/>
      </c>
      <c r="H17" t="inlineStr"/>
    </row>
    <row r="18">
      <c r="A18" t="inlineStr">
        <is>
          <t>L Parahippocampal</t>
        </is>
      </c>
      <c r="B18" t="n">
        <v>-1.18</v>
      </c>
      <c r="C18" t="n">
        <v>1102</v>
      </c>
      <c r="D18">
        <f> 0.238</f>
        <v/>
      </c>
      <c r="E18" t="n">
        <v>-0.07000000000000001</v>
      </c>
      <c r="F18" t="inlineStr">
        <is>
          <t>[-0.20, 0.05]</t>
        </is>
      </c>
      <c r="G18">
        <f> 0.951</f>
        <v/>
      </c>
      <c r="H18" t="inlineStr"/>
    </row>
    <row r="19">
      <c r="A19" t="inlineStr">
        <is>
          <t>L Paracentral</t>
        </is>
      </c>
      <c r="B19" t="n">
        <v>0.15</v>
      </c>
      <c r="C19" t="n">
        <v>1102</v>
      </c>
      <c r="D19">
        <f> 0.883</f>
        <v/>
      </c>
      <c r="E19" t="n">
        <v>0.01</v>
      </c>
      <c r="F19" t="inlineStr">
        <is>
          <t>[-0.12, 0.14]</t>
        </is>
      </c>
      <c r="G19">
        <f> 0.953</f>
        <v/>
      </c>
      <c r="H19" t="inlineStr"/>
    </row>
    <row r="20">
      <c r="A20" t="inlineStr">
        <is>
          <t>L Parsopercularis</t>
        </is>
      </c>
      <c r="B20" t="n">
        <v>-0.17</v>
      </c>
      <c r="C20" t="n">
        <v>1102</v>
      </c>
      <c r="D20">
        <f> 0.868</f>
        <v/>
      </c>
      <c r="E20" t="n">
        <v>-0.01</v>
      </c>
      <c r="F20" t="inlineStr">
        <is>
          <t>[-0.14, 0.12]</t>
        </is>
      </c>
      <c r="G20">
        <f> 0.953</f>
        <v/>
      </c>
      <c r="H20" t="inlineStr"/>
    </row>
    <row r="21">
      <c r="A21" t="inlineStr">
        <is>
          <t>L Parsorbitalis</t>
        </is>
      </c>
      <c r="B21" t="n">
        <v>-1.11</v>
      </c>
      <c r="C21" t="n">
        <v>1102</v>
      </c>
      <c r="D21">
        <f> 0.267</f>
        <v/>
      </c>
      <c r="E21" t="n">
        <v>-0.07000000000000001</v>
      </c>
      <c r="F21" t="inlineStr">
        <is>
          <t>[-0.19, 0.06]</t>
        </is>
      </c>
      <c r="G21">
        <f> 0.951</f>
        <v/>
      </c>
      <c r="H21" t="inlineStr"/>
    </row>
    <row r="22">
      <c r="A22" t="inlineStr">
        <is>
          <t>L Parstriangularis</t>
        </is>
      </c>
      <c r="B22" t="n">
        <v>-0.5600000000000001</v>
      </c>
      <c r="C22" t="n">
        <v>1102</v>
      </c>
      <c r="D22">
        <f> 0.578</f>
        <v/>
      </c>
      <c r="E22" t="n">
        <v>-0.04</v>
      </c>
      <c r="F22" t="inlineStr">
        <is>
          <t>[-0.16, 0.09]</t>
        </is>
      </c>
      <c r="G22">
        <f> 0.951</f>
        <v/>
      </c>
      <c r="H22" t="inlineStr"/>
    </row>
    <row r="23">
      <c r="A23" t="inlineStr">
        <is>
          <t>L Pericalcarine</t>
        </is>
      </c>
      <c r="B23" t="n">
        <v>1.37</v>
      </c>
      <c r="C23" t="n">
        <v>1102</v>
      </c>
      <c r="D23">
        <f> 0.172</f>
        <v/>
      </c>
      <c r="E23" t="n">
        <v>0.09</v>
      </c>
      <c r="F23" t="inlineStr">
        <is>
          <t>[-0.04, 0.22]</t>
        </is>
      </c>
      <c r="G23">
        <f> 0.951</f>
        <v/>
      </c>
      <c r="H23" t="inlineStr"/>
    </row>
    <row r="24">
      <c r="A24" t="inlineStr">
        <is>
          <t>L Postcentral</t>
        </is>
      </c>
      <c r="B24" t="n">
        <v>0.44</v>
      </c>
      <c r="C24" t="n">
        <v>1102</v>
      </c>
      <c r="D24">
        <f> 0.661</f>
        <v/>
      </c>
      <c r="E24" t="n">
        <v>0.03</v>
      </c>
      <c r="F24" t="inlineStr">
        <is>
          <t>[-0.10, 0.16]</t>
        </is>
      </c>
      <c r="G24">
        <f> 0.951</f>
        <v/>
      </c>
      <c r="H24" t="inlineStr"/>
    </row>
    <row r="25">
      <c r="A25" t="inlineStr">
        <is>
          <t>L Posteriorcingulate</t>
        </is>
      </c>
      <c r="B25" t="n">
        <v>0.88</v>
      </c>
      <c r="C25" t="n">
        <v>1102</v>
      </c>
      <c r="D25">
        <f> 0.379</f>
        <v/>
      </c>
      <c r="E25" t="n">
        <v>0.06</v>
      </c>
      <c r="F25" t="inlineStr">
        <is>
          <t>[-0.07, 0.18]</t>
        </is>
      </c>
      <c r="G25">
        <f> 0.951</f>
        <v/>
      </c>
      <c r="H25" t="inlineStr"/>
    </row>
    <row r="26">
      <c r="A26" t="inlineStr">
        <is>
          <t>L Precentral</t>
        </is>
      </c>
      <c r="B26" t="n">
        <v>-0.61</v>
      </c>
      <c r="C26" t="n">
        <v>1102</v>
      </c>
      <c r="D26">
        <f> 0.540</f>
        <v/>
      </c>
      <c r="E26" t="n">
        <v>-0.04</v>
      </c>
      <c r="F26" t="inlineStr">
        <is>
          <t>[-0.17, 0.09]</t>
        </is>
      </c>
      <c r="G26">
        <f> 0.951</f>
        <v/>
      </c>
      <c r="H26" t="inlineStr"/>
    </row>
    <row r="27">
      <c r="A27" t="inlineStr">
        <is>
          <t>L Precuneus</t>
        </is>
      </c>
      <c r="B27" t="n">
        <v>1.04</v>
      </c>
      <c r="C27" t="n">
        <v>1102</v>
      </c>
      <c r="D27">
        <f> 0.300</f>
        <v/>
      </c>
      <c r="E27" t="n">
        <v>0.07000000000000001</v>
      </c>
      <c r="F27" t="inlineStr">
        <is>
          <t>[-0.06, 0.20]</t>
        </is>
      </c>
      <c r="G27">
        <f> 0.951</f>
        <v/>
      </c>
      <c r="H27" t="inlineStr"/>
    </row>
    <row r="28">
      <c r="A28" t="inlineStr">
        <is>
          <t>L Rostralanteriorcingulate</t>
        </is>
      </c>
      <c r="B28" t="n">
        <v>0.85</v>
      </c>
      <c r="C28" t="n">
        <v>1102</v>
      </c>
      <c r="D28">
        <f> 0.394</f>
        <v/>
      </c>
      <c r="E28" t="n">
        <v>0.06</v>
      </c>
      <c r="F28" t="inlineStr">
        <is>
          <t>[-0.07, 0.18]</t>
        </is>
      </c>
      <c r="G28">
        <f> 0.951</f>
        <v/>
      </c>
      <c r="H28" t="inlineStr"/>
    </row>
    <row r="29">
      <c r="A29" t="inlineStr">
        <is>
          <t>L Rostralmiddlefrontal</t>
        </is>
      </c>
      <c r="B29" t="n">
        <v>0.03</v>
      </c>
      <c r="C29" t="n">
        <v>1102</v>
      </c>
      <c r="D29">
        <f> 0.974</f>
        <v/>
      </c>
      <c r="E29" t="n">
        <v>0</v>
      </c>
      <c r="F29" t="inlineStr">
        <is>
          <t>[-0.12, 0.13]</t>
        </is>
      </c>
      <c r="G29">
        <f> 0.989</f>
        <v/>
      </c>
      <c r="H29" t="inlineStr"/>
    </row>
    <row r="30">
      <c r="A30" t="inlineStr">
        <is>
          <t>L Superiorfrontal</t>
        </is>
      </c>
      <c r="B30" t="n">
        <v>-0.51</v>
      </c>
      <c r="C30" t="n">
        <v>1102</v>
      </c>
      <c r="D30">
        <f> 0.611</f>
        <v/>
      </c>
      <c r="E30" t="n">
        <v>-0.03</v>
      </c>
      <c r="F30" t="inlineStr">
        <is>
          <t>[-0.16, 0.09]</t>
        </is>
      </c>
      <c r="G30">
        <f> 0.951</f>
        <v/>
      </c>
      <c r="H30" t="inlineStr"/>
    </row>
    <row r="31">
      <c r="A31" t="inlineStr">
        <is>
          <t>L Superiorparietal</t>
        </is>
      </c>
      <c r="B31" t="n">
        <v>-0.45</v>
      </c>
      <c r="C31" t="n">
        <v>1102</v>
      </c>
      <c r="D31">
        <f> 0.656</f>
        <v/>
      </c>
      <c r="E31" t="n">
        <v>-0.03</v>
      </c>
      <c r="F31" t="inlineStr">
        <is>
          <t>[-0.16, 0.10]</t>
        </is>
      </c>
      <c r="G31">
        <f> 0.951</f>
        <v/>
      </c>
      <c r="H31" t="inlineStr"/>
    </row>
    <row r="32">
      <c r="A32" t="inlineStr">
        <is>
          <t>L Superiortemporal</t>
        </is>
      </c>
      <c r="B32" t="n">
        <v>-0.54</v>
      </c>
      <c r="C32" t="n">
        <v>1102</v>
      </c>
      <c r="D32">
        <f> 0.592</f>
        <v/>
      </c>
      <c r="E32" t="n">
        <v>-0.04</v>
      </c>
      <c r="F32" t="inlineStr">
        <is>
          <t>[-0.16, 0.09]</t>
        </is>
      </c>
      <c r="G32">
        <f> 0.951</f>
        <v/>
      </c>
      <c r="H32" t="inlineStr"/>
    </row>
    <row r="33">
      <c r="A33" t="inlineStr">
        <is>
          <t>L Supramarginal</t>
        </is>
      </c>
      <c r="B33" t="n">
        <v>-0.5600000000000001</v>
      </c>
      <c r="C33" t="n">
        <v>1102</v>
      </c>
      <c r="D33">
        <f> 0.574</f>
        <v/>
      </c>
      <c r="E33" t="n">
        <v>-0.04</v>
      </c>
      <c r="F33" t="inlineStr">
        <is>
          <t>[-0.16, 0.09]</t>
        </is>
      </c>
      <c r="G33">
        <f> 0.951</f>
        <v/>
      </c>
      <c r="H33" t="inlineStr"/>
    </row>
    <row r="34">
      <c r="A34" t="inlineStr">
        <is>
          <t>L Frontalpole</t>
        </is>
      </c>
      <c r="B34" t="n">
        <v>-0.01</v>
      </c>
      <c r="C34" t="n">
        <v>1102</v>
      </c>
      <c r="D34">
        <f> 0.989</f>
        <v/>
      </c>
      <c r="E34" t="n">
        <v>-0</v>
      </c>
      <c r="F34" t="inlineStr">
        <is>
          <t>[-0.13, 0.13]</t>
        </is>
      </c>
      <c r="G34">
        <f> 0.989</f>
        <v/>
      </c>
      <c r="H34" t="inlineStr"/>
    </row>
    <row r="35">
      <c r="A35" t="inlineStr">
        <is>
          <t>L Temporalpole</t>
        </is>
      </c>
      <c r="B35" t="n">
        <v>1.34</v>
      </c>
      <c r="C35" t="n">
        <v>1102</v>
      </c>
      <c r="D35">
        <f> 0.181</f>
        <v/>
      </c>
      <c r="E35" t="n">
        <v>0.09</v>
      </c>
      <c r="F35" t="inlineStr">
        <is>
          <t>[-0.04, 0.21]</t>
        </is>
      </c>
      <c r="G35">
        <f> 0.951</f>
        <v/>
      </c>
      <c r="H35" t="inlineStr"/>
    </row>
    <row r="36">
      <c r="A36" t="inlineStr">
        <is>
          <t>L Transversetemporal</t>
        </is>
      </c>
      <c r="B36" t="n">
        <v>1.1</v>
      </c>
      <c r="C36" t="n">
        <v>1102</v>
      </c>
      <c r="D36">
        <f> 0.273</f>
        <v/>
      </c>
      <c r="E36" t="n">
        <v>0.07000000000000001</v>
      </c>
      <c r="F36" t="inlineStr">
        <is>
          <t>[-0.06, 0.20]</t>
        </is>
      </c>
      <c r="G36">
        <f> 0.951</f>
        <v/>
      </c>
      <c r="H36" t="inlineStr"/>
    </row>
    <row r="37">
      <c r="A37" t="inlineStr">
        <is>
          <t>L Insula</t>
        </is>
      </c>
      <c r="B37" t="n">
        <v>0.13</v>
      </c>
      <c r="C37" t="n">
        <v>1102</v>
      </c>
      <c r="D37">
        <f> 0.898</f>
        <v/>
      </c>
      <c r="E37" t="n">
        <v>0.01</v>
      </c>
      <c r="F37" t="inlineStr">
        <is>
          <t>[-0.12, 0.14]</t>
        </is>
      </c>
      <c r="G37">
        <f> 0.954</f>
        <v/>
      </c>
      <c r="H37" t="inlineStr"/>
    </row>
    <row r="38">
      <c r="A38" t="inlineStr">
        <is>
          <t>R Bankssts</t>
        </is>
      </c>
      <c r="B38" t="n">
        <v>1.58</v>
      </c>
      <c r="C38" t="n">
        <v>1102</v>
      </c>
      <c r="D38">
        <f> 0.115</f>
        <v/>
      </c>
      <c r="E38" t="n">
        <v>0.1</v>
      </c>
      <c r="F38" t="inlineStr">
        <is>
          <t>[-0.02, 0.23]</t>
        </is>
      </c>
      <c r="G38">
        <f> 0.951</f>
        <v/>
      </c>
      <c r="H38" t="inlineStr"/>
    </row>
    <row r="39">
      <c r="A39" t="inlineStr">
        <is>
          <t>R Caudalanteriorcingulate</t>
        </is>
      </c>
      <c r="B39" t="n">
        <v>-0.67</v>
      </c>
      <c r="C39" t="n">
        <v>1102</v>
      </c>
      <c r="D39">
        <f> 0.500</f>
        <v/>
      </c>
      <c r="E39" t="n">
        <v>-0.04</v>
      </c>
      <c r="F39" t="inlineStr">
        <is>
          <t>[-0.17, 0.08]</t>
        </is>
      </c>
      <c r="G39">
        <f> 0.951</f>
        <v/>
      </c>
      <c r="H39" t="inlineStr"/>
    </row>
    <row r="40">
      <c r="A40" t="inlineStr">
        <is>
          <t>R Caudalmiddlefrontal</t>
        </is>
      </c>
      <c r="B40" t="n">
        <v>0.67</v>
      </c>
      <c r="C40" t="n">
        <v>1102</v>
      </c>
      <c r="D40">
        <f> 0.504</f>
        <v/>
      </c>
      <c r="E40" t="n">
        <v>0.04</v>
      </c>
      <c r="F40" t="inlineStr">
        <is>
          <t>[-0.08, 0.17]</t>
        </is>
      </c>
      <c r="G40">
        <f> 0.951</f>
        <v/>
      </c>
      <c r="H40" t="inlineStr"/>
    </row>
    <row r="41">
      <c r="A41" t="inlineStr">
        <is>
          <t>R Cuneus</t>
        </is>
      </c>
      <c r="B41" t="n">
        <v>0.91</v>
      </c>
      <c r="C41" t="n">
        <v>1102</v>
      </c>
      <c r="D41">
        <f> 0.361</f>
        <v/>
      </c>
      <c r="E41" t="n">
        <v>0.06</v>
      </c>
      <c r="F41" t="inlineStr">
        <is>
          <t>[-0.07, 0.19]</t>
        </is>
      </c>
      <c r="G41">
        <f> 0.951</f>
        <v/>
      </c>
      <c r="H41" t="inlineStr"/>
    </row>
    <row r="42">
      <c r="A42" t="inlineStr">
        <is>
          <t>R Entorhinal</t>
        </is>
      </c>
      <c r="B42" t="n">
        <v>3.83</v>
      </c>
      <c r="C42" t="n">
        <v>1102</v>
      </c>
      <c r="D42" t="inlineStr">
        <is>
          <t>&lt; .001</t>
        </is>
      </c>
      <c r="E42" t="n">
        <v>0.25</v>
      </c>
      <c r="F42" t="inlineStr">
        <is>
          <t>[0.12, 0.37]</t>
        </is>
      </c>
      <c r="G42">
        <f> 0.009</f>
        <v/>
      </c>
      <c r="H42" t="inlineStr">
        <is>
          <t>✓</t>
        </is>
      </c>
    </row>
    <row r="43">
      <c r="A43" t="inlineStr">
        <is>
          <t>R Fusiform</t>
        </is>
      </c>
      <c r="B43" t="n">
        <v>1.6</v>
      </c>
      <c r="C43" t="n">
        <v>1102</v>
      </c>
      <c r="D43">
        <f> 0.109</f>
        <v/>
      </c>
      <c r="E43" t="n">
        <v>0.11</v>
      </c>
      <c r="F43" t="inlineStr">
        <is>
          <t>[-0.02, 0.23]</t>
        </is>
      </c>
      <c r="G43">
        <f> 0.951</f>
        <v/>
      </c>
      <c r="H43" t="inlineStr"/>
    </row>
    <row r="44">
      <c r="A44" t="inlineStr">
        <is>
          <t>R Inferiorparietal</t>
        </is>
      </c>
      <c r="B44" t="n">
        <v>0.06</v>
      </c>
      <c r="C44" t="n">
        <v>1102</v>
      </c>
      <c r="D44">
        <f> 0.953</f>
        <v/>
      </c>
      <c r="E44" t="n">
        <v>0</v>
      </c>
      <c r="F44" t="inlineStr">
        <is>
          <t>[-0.12, 0.13]</t>
        </is>
      </c>
      <c r="G44">
        <f> 0.989</f>
        <v/>
      </c>
      <c r="H44" t="inlineStr"/>
    </row>
    <row r="45">
      <c r="A45" t="inlineStr">
        <is>
          <t>R Inferiortemporal</t>
        </is>
      </c>
      <c r="B45" t="n">
        <v>1.34</v>
      </c>
      <c r="C45" t="n">
        <v>1102</v>
      </c>
      <c r="D45">
        <f> 0.180</f>
        <v/>
      </c>
      <c r="E45" t="n">
        <v>0.09</v>
      </c>
      <c r="F45" t="inlineStr">
        <is>
          <t>[-0.04, 0.21]</t>
        </is>
      </c>
      <c r="G45">
        <f> 0.951</f>
        <v/>
      </c>
      <c r="H45" t="inlineStr"/>
    </row>
    <row r="46">
      <c r="A46" t="inlineStr">
        <is>
          <t>R Isthmuscingulate</t>
        </is>
      </c>
      <c r="B46" t="n">
        <v>-0.76</v>
      </c>
      <c r="C46" t="n">
        <v>1102</v>
      </c>
      <c r="D46">
        <f> 0.447</f>
        <v/>
      </c>
      <c r="E46" t="n">
        <v>-0.05</v>
      </c>
      <c r="F46" t="inlineStr">
        <is>
          <t>[-0.18, 0.08]</t>
        </is>
      </c>
      <c r="G46">
        <f> 0.951</f>
        <v/>
      </c>
      <c r="H46" t="inlineStr"/>
    </row>
    <row r="47">
      <c r="A47" t="inlineStr">
        <is>
          <t>R Lateraloccipital</t>
        </is>
      </c>
      <c r="B47" t="n">
        <v>0.9</v>
      </c>
      <c r="C47" t="n">
        <v>1102</v>
      </c>
      <c r="D47">
        <f> 0.369</f>
        <v/>
      </c>
      <c r="E47" t="n">
        <v>0.06</v>
      </c>
      <c r="F47" t="inlineStr">
        <is>
          <t>[-0.07, 0.19]</t>
        </is>
      </c>
      <c r="G47">
        <f> 0.951</f>
        <v/>
      </c>
      <c r="H47" t="inlineStr"/>
    </row>
    <row r="48">
      <c r="A48" t="inlineStr">
        <is>
          <t>R Lateralorbitofrontal</t>
        </is>
      </c>
      <c r="B48" t="n">
        <v>1.26</v>
      </c>
      <c r="C48" t="n">
        <v>1102</v>
      </c>
      <c r="D48">
        <f> 0.209</f>
        <v/>
      </c>
      <c r="E48" t="n">
        <v>0.08</v>
      </c>
      <c r="F48" t="inlineStr">
        <is>
          <t>[-0.05, 0.21]</t>
        </is>
      </c>
      <c r="G48">
        <f> 0.951</f>
        <v/>
      </c>
      <c r="H48" t="inlineStr"/>
    </row>
    <row r="49">
      <c r="A49" t="inlineStr">
        <is>
          <t>R Lingual</t>
        </is>
      </c>
      <c r="B49" t="n">
        <v>0.05</v>
      </c>
      <c r="C49" t="n">
        <v>1102</v>
      </c>
      <c r="D49">
        <f> 0.962</f>
        <v/>
      </c>
      <c r="E49" t="n">
        <v>0</v>
      </c>
      <c r="F49" t="inlineStr">
        <is>
          <t>[-0.12, 0.13]</t>
        </is>
      </c>
      <c r="G49">
        <f> 0.989</f>
        <v/>
      </c>
      <c r="H49" t="inlineStr"/>
    </row>
    <row r="50">
      <c r="A50" t="inlineStr">
        <is>
          <t>R Medialorbitofrontal</t>
        </is>
      </c>
      <c r="B50" t="n">
        <v>-0.6899999999999999</v>
      </c>
      <c r="C50" t="n">
        <v>1102</v>
      </c>
      <c r="D50">
        <f> 0.492</f>
        <v/>
      </c>
      <c r="E50" t="n">
        <v>-0.05</v>
      </c>
      <c r="F50" t="inlineStr">
        <is>
          <t>[-0.17, 0.08]</t>
        </is>
      </c>
      <c r="G50">
        <f> 0.951</f>
        <v/>
      </c>
      <c r="H50" t="inlineStr"/>
    </row>
    <row r="51">
      <c r="A51" t="inlineStr">
        <is>
          <t>R Middletemporal</t>
        </is>
      </c>
      <c r="B51" t="n">
        <v>1.09</v>
      </c>
      <c r="C51" t="n">
        <v>1102</v>
      </c>
      <c r="D51">
        <f> 0.276</f>
        <v/>
      </c>
      <c r="E51" t="n">
        <v>0.07000000000000001</v>
      </c>
      <c r="F51" t="inlineStr">
        <is>
          <t>[-0.06, 0.20]</t>
        </is>
      </c>
      <c r="G51">
        <f> 0.951</f>
        <v/>
      </c>
      <c r="H51" t="inlineStr"/>
    </row>
    <row r="52">
      <c r="A52" t="inlineStr">
        <is>
          <t>R Parahippocampal</t>
        </is>
      </c>
      <c r="B52" t="n">
        <v>-0.4</v>
      </c>
      <c r="C52" t="n">
        <v>1102</v>
      </c>
      <c r="D52">
        <f> 0.686</f>
        <v/>
      </c>
      <c r="E52" t="n">
        <v>-0.03</v>
      </c>
      <c r="F52" t="inlineStr">
        <is>
          <t>[-0.15, 0.10]</t>
        </is>
      </c>
      <c r="G52">
        <f> 0.951</f>
        <v/>
      </c>
      <c r="H52" t="inlineStr"/>
    </row>
    <row r="53">
      <c r="A53" t="inlineStr">
        <is>
          <t>R Paracentral</t>
        </is>
      </c>
      <c r="B53" t="n">
        <v>1.53</v>
      </c>
      <c r="C53" t="n">
        <v>1102</v>
      </c>
      <c r="D53">
        <f> 0.128</f>
        <v/>
      </c>
      <c r="E53" t="n">
        <v>0.1</v>
      </c>
      <c r="F53" t="inlineStr">
        <is>
          <t>[-0.03, 0.23]</t>
        </is>
      </c>
      <c r="G53">
        <f> 0.951</f>
        <v/>
      </c>
      <c r="H53" t="inlineStr"/>
    </row>
    <row r="54">
      <c r="A54" t="inlineStr">
        <is>
          <t>R Parsopercularis</t>
        </is>
      </c>
      <c r="B54" t="n">
        <v>-0.64</v>
      </c>
      <c r="C54" t="n">
        <v>1102</v>
      </c>
      <c r="D54">
        <f> 0.521</f>
        <v/>
      </c>
      <c r="E54" t="n">
        <v>-0.04</v>
      </c>
      <c r="F54" t="inlineStr">
        <is>
          <t>[-0.17, 0.09]</t>
        </is>
      </c>
      <c r="G54">
        <f> 0.951</f>
        <v/>
      </c>
      <c r="H54" t="inlineStr"/>
    </row>
    <row r="55">
      <c r="A55" t="inlineStr">
        <is>
          <t>R Parsorbitalis</t>
        </is>
      </c>
      <c r="B55" t="n">
        <v>0.31</v>
      </c>
      <c r="C55" t="n">
        <v>1102</v>
      </c>
      <c r="D55">
        <f> 0.760</f>
        <v/>
      </c>
      <c r="E55" t="n">
        <v>0.02</v>
      </c>
      <c r="F55" t="inlineStr">
        <is>
          <t>[-0.11, 0.15]</t>
        </is>
      </c>
      <c r="G55">
        <f> 0.951</f>
        <v/>
      </c>
      <c r="H55" t="inlineStr"/>
    </row>
    <row r="56">
      <c r="A56" t="inlineStr">
        <is>
          <t>R Parstriangularis</t>
        </is>
      </c>
      <c r="B56" t="n">
        <v>-0.16</v>
      </c>
      <c r="C56" t="n">
        <v>1102</v>
      </c>
      <c r="D56">
        <f> 0.874</f>
        <v/>
      </c>
      <c r="E56" t="n">
        <v>-0.01</v>
      </c>
      <c r="F56" t="inlineStr">
        <is>
          <t>[-0.14, 0.12]</t>
        </is>
      </c>
      <c r="G56">
        <f> 0.953</f>
        <v/>
      </c>
      <c r="H56" t="inlineStr"/>
    </row>
    <row r="57">
      <c r="A57" t="inlineStr">
        <is>
          <t>R Pericalcarine</t>
        </is>
      </c>
      <c r="B57" t="n">
        <v>-0.5</v>
      </c>
      <c r="C57" t="n">
        <v>1102</v>
      </c>
      <c r="D57">
        <f> 0.617</f>
        <v/>
      </c>
      <c r="E57" t="n">
        <v>-0.03</v>
      </c>
      <c r="F57" t="inlineStr">
        <is>
          <t>[-0.16, 0.09]</t>
        </is>
      </c>
      <c r="G57">
        <f> 0.951</f>
        <v/>
      </c>
      <c r="H57" t="inlineStr"/>
    </row>
    <row r="58">
      <c r="A58" t="inlineStr">
        <is>
          <t>R Postcentral</t>
        </is>
      </c>
      <c r="B58" t="n">
        <v>-0.27</v>
      </c>
      <c r="C58" t="n">
        <v>1102</v>
      </c>
      <c r="D58">
        <f> 0.785</f>
        <v/>
      </c>
      <c r="E58" t="n">
        <v>-0.02</v>
      </c>
      <c r="F58" t="inlineStr">
        <is>
          <t>[-0.14, 0.11]</t>
        </is>
      </c>
      <c r="G58">
        <f> 0.951</f>
        <v/>
      </c>
      <c r="H58" t="inlineStr"/>
    </row>
    <row r="59">
      <c r="A59" t="inlineStr">
        <is>
          <t>R Posteriorcingulate</t>
        </is>
      </c>
      <c r="B59" t="n">
        <v>1.02</v>
      </c>
      <c r="C59" t="n">
        <v>1102</v>
      </c>
      <c r="D59">
        <f> 0.307</f>
        <v/>
      </c>
      <c r="E59" t="n">
        <v>0.07000000000000001</v>
      </c>
      <c r="F59" t="inlineStr">
        <is>
          <t>[-0.06, 0.19]</t>
        </is>
      </c>
      <c r="G59">
        <f> 0.951</f>
        <v/>
      </c>
      <c r="H59" t="inlineStr"/>
    </row>
    <row r="60">
      <c r="A60" t="inlineStr">
        <is>
          <t>R Precentral</t>
        </is>
      </c>
      <c r="B60" t="n">
        <v>-0.41</v>
      </c>
      <c r="C60" t="n">
        <v>1102</v>
      </c>
      <c r="D60">
        <f> 0.681</f>
        <v/>
      </c>
      <c r="E60" t="n">
        <v>-0.03</v>
      </c>
      <c r="F60" t="inlineStr">
        <is>
          <t>[-0.15, 0.10]</t>
        </is>
      </c>
      <c r="G60">
        <f> 0.951</f>
        <v/>
      </c>
      <c r="H60" t="inlineStr"/>
    </row>
    <row r="61">
      <c r="A61" t="inlineStr">
        <is>
          <t>R Precuneus</t>
        </is>
      </c>
      <c r="B61" t="n">
        <v>1.11</v>
      </c>
      <c r="C61" t="n">
        <v>1102</v>
      </c>
      <c r="D61">
        <f> 0.266</f>
        <v/>
      </c>
      <c r="E61" t="n">
        <v>0.07000000000000001</v>
      </c>
      <c r="F61" t="inlineStr">
        <is>
          <t>[-0.05, 0.20]</t>
        </is>
      </c>
      <c r="G61">
        <f> 0.951</f>
        <v/>
      </c>
      <c r="H61" t="inlineStr"/>
    </row>
    <row r="62">
      <c r="A62" t="inlineStr">
        <is>
          <t>R Rostralanteriorcingulate</t>
        </is>
      </c>
      <c r="B62" t="n">
        <v>-2.18</v>
      </c>
      <c r="C62" t="n">
        <v>1102</v>
      </c>
      <c r="D62">
        <f> 0.029</f>
        <v/>
      </c>
      <c r="E62" t="n">
        <v>-0.14</v>
      </c>
      <c r="F62" t="inlineStr">
        <is>
          <t>[-0.27, -0.02]</t>
        </is>
      </c>
      <c r="G62">
        <f> 0.501</f>
        <v/>
      </c>
      <c r="H62" t="inlineStr"/>
    </row>
    <row r="63">
      <c r="A63" t="inlineStr">
        <is>
          <t>R Rostralmiddlefrontal</t>
        </is>
      </c>
      <c r="B63" t="n">
        <v>-0.25</v>
      </c>
      <c r="C63" t="n">
        <v>1102</v>
      </c>
      <c r="D63">
        <f> 0.803</f>
        <v/>
      </c>
      <c r="E63" t="n">
        <v>-0.02</v>
      </c>
      <c r="F63" t="inlineStr">
        <is>
          <t>[-0.14, 0.11]</t>
        </is>
      </c>
      <c r="G63">
        <f> 0.951</f>
        <v/>
      </c>
      <c r="H63" t="inlineStr"/>
    </row>
    <row r="64">
      <c r="A64" t="inlineStr">
        <is>
          <t>R Superiorfrontal</t>
        </is>
      </c>
      <c r="B64" t="n">
        <v>0.15</v>
      </c>
      <c r="C64" t="n">
        <v>1102</v>
      </c>
      <c r="D64">
        <f> 0.883</f>
        <v/>
      </c>
      <c r="E64" t="n">
        <v>0.01</v>
      </c>
      <c r="F64" t="inlineStr">
        <is>
          <t>[-0.12, 0.14]</t>
        </is>
      </c>
      <c r="G64">
        <f> 0.953</f>
        <v/>
      </c>
      <c r="H64" t="inlineStr"/>
    </row>
    <row r="65">
      <c r="A65" t="inlineStr">
        <is>
          <t>R Superiorparietal</t>
        </is>
      </c>
      <c r="B65" t="n">
        <v>-0.62</v>
      </c>
      <c r="C65" t="n">
        <v>1102</v>
      </c>
      <c r="D65">
        <f> 0.533</f>
        <v/>
      </c>
      <c r="E65" t="n">
        <v>-0.04</v>
      </c>
      <c r="F65" t="inlineStr">
        <is>
          <t>[-0.17, 0.09]</t>
        </is>
      </c>
      <c r="G65">
        <f> 0.951</f>
        <v/>
      </c>
      <c r="H65" t="inlineStr"/>
    </row>
    <row r="66">
      <c r="A66" t="inlineStr">
        <is>
          <t>R Superiortemporal</t>
        </is>
      </c>
      <c r="B66" t="n">
        <v>-0.32</v>
      </c>
      <c r="C66" t="n">
        <v>1102</v>
      </c>
      <c r="D66">
        <f> 0.753</f>
        <v/>
      </c>
      <c r="E66" t="n">
        <v>-0.02</v>
      </c>
      <c r="F66" t="inlineStr">
        <is>
          <t>[-0.15, 0.11]</t>
        </is>
      </c>
      <c r="G66">
        <f> 0.951</f>
        <v/>
      </c>
      <c r="H66" t="inlineStr"/>
    </row>
    <row r="67">
      <c r="A67" t="inlineStr">
        <is>
          <t>R Supramarginal</t>
        </is>
      </c>
      <c r="B67" t="n">
        <v>-0.25</v>
      </c>
      <c r="C67" t="n">
        <v>1102</v>
      </c>
      <c r="D67">
        <f> 0.806</f>
        <v/>
      </c>
      <c r="E67" t="n">
        <v>-0.02</v>
      </c>
      <c r="F67" t="inlineStr">
        <is>
          <t>[-0.14, 0.11]</t>
        </is>
      </c>
      <c r="G67">
        <f> 0.951</f>
        <v/>
      </c>
      <c r="H67" t="inlineStr"/>
    </row>
    <row r="68">
      <c r="A68" t="inlineStr">
        <is>
          <t>R Frontalpole</t>
        </is>
      </c>
      <c r="B68" t="n">
        <v>-0.58</v>
      </c>
      <c r="C68" t="n">
        <v>1102</v>
      </c>
      <c r="D68">
        <f> 0.559</f>
        <v/>
      </c>
      <c r="E68" t="n">
        <v>-0.04</v>
      </c>
      <c r="F68" t="inlineStr">
        <is>
          <t>[-0.17, 0.09]</t>
        </is>
      </c>
      <c r="G68">
        <f> 0.951</f>
        <v/>
      </c>
      <c r="H68" t="inlineStr"/>
    </row>
    <row r="69">
      <c r="A69" t="inlineStr">
        <is>
          <t>R Temporalpole</t>
        </is>
      </c>
      <c r="B69" t="n">
        <v>3.61</v>
      </c>
      <c r="C69" t="n">
        <v>1102</v>
      </c>
      <c r="D69" t="inlineStr">
        <is>
          <t>&lt; .001</t>
        </is>
      </c>
      <c r="E69" t="n">
        <v>0.24</v>
      </c>
      <c r="F69" t="inlineStr">
        <is>
          <t>[0.11, 0.36]</t>
        </is>
      </c>
      <c r="G69">
        <f> 0.011</f>
        <v/>
      </c>
      <c r="H69" t="inlineStr">
        <is>
          <t>✓</t>
        </is>
      </c>
    </row>
    <row r="70">
      <c r="A70" t="inlineStr">
        <is>
          <t>R Transversetemporal</t>
        </is>
      </c>
      <c r="B70" t="n">
        <v>1.08</v>
      </c>
      <c r="C70" t="n">
        <v>1102</v>
      </c>
      <c r="D70">
        <f> 0.282</f>
        <v/>
      </c>
      <c r="E70" t="n">
        <v>0.07000000000000001</v>
      </c>
      <c r="F70" t="inlineStr">
        <is>
          <t>[-0.06, 0.20]</t>
        </is>
      </c>
      <c r="G70">
        <f> 0.951</f>
        <v/>
      </c>
      <c r="H70" t="inlineStr"/>
    </row>
    <row r="71">
      <c r="A71" t="inlineStr">
        <is>
          <t>R Insula</t>
        </is>
      </c>
      <c r="B71" t="n">
        <v>0.26</v>
      </c>
      <c r="C71" t="n">
        <v>1102</v>
      </c>
      <c r="D71">
        <f> 0.793</f>
        <v/>
      </c>
      <c r="E71" t="n">
        <v>0.02</v>
      </c>
      <c r="F71" t="inlineStr">
        <is>
          <t>[-0.11, 0.14]</t>
        </is>
      </c>
      <c r="G71">
        <f> 0.951</f>
        <v/>
      </c>
      <c r="H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Welch t-test (good sleepers PSQI≤5 vs. poor sleepers PSQI&gt;5). FDR correction: Benjamini–Hochberg (q&lt;.05). Effect size: Cohen's d.</t>
        </is>
      </c>
    </row>
    <row r="3">
      <c r="A3" s="1" t="inlineStr">
        <is>
          <t>ROI</t>
        </is>
      </c>
      <c r="B3" s="1" t="inlineStr">
        <is>
          <t>t</t>
        </is>
      </c>
      <c r="C3" s="1" t="inlineStr">
        <is>
          <t>df</t>
        </is>
      </c>
      <c r="D3" s="1" t="inlineStr">
        <is>
          <t>p</t>
        </is>
      </c>
      <c r="E3" s="1" t="inlineStr">
        <is>
          <t>d</t>
        </is>
      </c>
      <c r="F3" s="1" t="inlineStr">
        <is>
          <t>95% CI [d]</t>
        </is>
      </c>
      <c r="G3" s="1" t="inlineStr">
        <is>
          <t>p_FDR</t>
        </is>
      </c>
      <c r="H3" s="1" t="inlineStr">
        <is>
          <t>FDR sig.</t>
        </is>
      </c>
    </row>
    <row r="4">
      <c r="A4" t="inlineStr">
        <is>
          <t>L Entorhinal</t>
        </is>
      </c>
      <c r="B4" t="n">
        <v>3.16</v>
      </c>
      <c r="C4" t="n">
        <v>1102</v>
      </c>
      <c r="D4">
        <f> 0.002</f>
        <v/>
      </c>
      <c r="E4" t="n">
        <v>0.2</v>
      </c>
      <c r="F4" t="inlineStr">
        <is>
          <t>[0.08, 0.33]</t>
        </is>
      </c>
      <c r="G4">
        <f> 0.037</f>
        <v/>
      </c>
      <c r="H4" t="inlineStr">
        <is>
          <t>✓</t>
        </is>
      </c>
    </row>
    <row r="5">
      <c r="A5" t="inlineStr">
        <is>
          <t>R Entorhinal</t>
        </is>
      </c>
      <c r="B5" t="n">
        <v>3.83</v>
      </c>
      <c r="C5" t="n">
        <v>1102</v>
      </c>
      <c r="D5" t="inlineStr">
        <is>
          <t>&lt; .001</t>
        </is>
      </c>
      <c r="E5" t="n">
        <v>0.25</v>
      </c>
      <c r="F5" t="inlineStr">
        <is>
          <t>[0.12, 0.37]</t>
        </is>
      </c>
      <c r="G5">
        <f> 0.009</f>
        <v/>
      </c>
      <c r="H5" t="inlineStr">
        <is>
          <t>✓</t>
        </is>
      </c>
    </row>
    <row r="6">
      <c r="A6" t="inlineStr">
        <is>
          <t>R Temporalpole</t>
        </is>
      </c>
      <c r="B6" t="n">
        <v>3.61</v>
      </c>
      <c r="C6" t="n">
        <v>1102</v>
      </c>
      <c r="D6" t="inlineStr">
        <is>
          <t>&lt; .001</t>
        </is>
      </c>
      <c r="E6" t="n">
        <v>0.24</v>
      </c>
      <c r="F6" t="inlineStr">
        <is>
          <t>[0.11, 0.36]</t>
        </is>
      </c>
      <c r="G6">
        <f> 0.011</f>
        <v/>
      </c>
      <c r="H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Pearson r (PMAT24_A_CR × DK surface area). FDR correction: Benjamini–Hochberg (q&lt;.05). 95% CI via Fisher z-transform.</t>
        </is>
      </c>
    </row>
    <row r="3">
      <c r="A3" s="1" t="inlineStr">
        <is>
          <t>ROI</t>
        </is>
      </c>
      <c r="B3" s="1" t="inlineStr">
        <is>
          <t>r</t>
        </is>
      </c>
      <c r="C3" s="1" t="inlineStr">
        <is>
          <t>n</t>
        </is>
      </c>
      <c r="D3" s="1" t="inlineStr">
        <is>
          <t>p</t>
        </is>
      </c>
      <c r="E3" s="1" t="inlineStr">
        <is>
          <t>95% CI [r]</t>
        </is>
      </c>
      <c r="F3" s="1" t="inlineStr">
        <is>
          <t>p_FDR</t>
        </is>
      </c>
      <c r="G3" s="1" t="inlineStr">
        <is>
          <t>FDR sig.</t>
        </is>
      </c>
    </row>
    <row r="4">
      <c r="A4" t="inlineStr">
        <is>
          <t>L Bankssts</t>
        </is>
      </c>
      <c r="B4" t="n">
        <v>0.143</v>
      </c>
      <c r="C4" t="n">
        <v>1104</v>
      </c>
      <c r="D4" t="inlineStr">
        <is>
          <t>&lt; .001</t>
        </is>
      </c>
      <c r="E4" t="inlineStr">
        <is>
          <t>[0.085, 0.200]</t>
        </is>
      </c>
      <c r="F4" t="inlineStr">
        <is>
          <t>&lt; .001</t>
        </is>
      </c>
      <c r="G4" t="inlineStr">
        <is>
          <t>✓</t>
        </is>
      </c>
    </row>
    <row r="5">
      <c r="A5" t="inlineStr">
        <is>
          <t>L Caudalanteriorcingulate</t>
        </is>
      </c>
      <c r="B5" t="n">
        <v>0.157</v>
      </c>
      <c r="C5" t="n">
        <v>1104</v>
      </c>
      <c r="D5" t="inlineStr">
        <is>
          <t>&lt; .001</t>
        </is>
      </c>
      <c r="E5" t="inlineStr">
        <is>
          <t>[0.099, 0.214]</t>
        </is>
      </c>
      <c r="F5" t="inlineStr">
        <is>
          <t>&lt; .001</t>
        </is>
      </c>
      <c r="G5" t="inlineStr">
        <is>
          <t>✓</t>
        </is>
      </c>
    </row>
    <row r="6">
      <c r="A6" t="inlineStr">
        <is>
          <t>L Caudalmiddlefrontal</t>
        </is>
      </c>
      <c r="B6" t="n">
        <v>0.205</v>
      </c>
      <c r="C6" t="n">
        <v>1104</v>
      </c>
      <c r="D6" t="inlineStr">
        <is>
          <t>&lt; .001</t>
        </is>
      </c>
      <c r="E6" t="inlineStr">
        <is>
          <t>[0.147, 0.261]</t>
        </is>
      </c>
      <c r="F6" t="inlineStr">
        <is>
          <t>&lt; .001</t>
        </is>
      </c>
      <c r="G6" t="inlineStr">
        <is>
          <t>✓</t>
        </is>
      </c>
    </row>
    <row r="7">
      <c r="A7" t="inlineStr">
        <is>
          <t>L Cuneus</t>
        </is>
      </c>
      <c r="B7" t="n">
        <v>0.226</v>
      </c>
      <c r="C7" t="n">
        <v>1104</v>
      </c>
      <c r="D7" t="inlineStr">
        <is>
          <t>&lt; .001</t>
        </is>
      </c>
      <c r="E7" t="inlineStr">
        <is>
          <t>[0.169, 0.281]</t>
        </is>
      </c>
      <c r="F7" t="inlineStr">
        <is>
          <t>&lt; .001</t>
        </is>
      </c>
      <c r="G7" t="inlineStr">
        <is>
          <t>✓</t>
        </is>
      </c>
    </row>
    <row r="8">
      <c r="A8" t="inlineStr">
        <is>
          <t>L Entorhinal</t>
        </is>
      </c>
      <c r="B8" t="n">
        <v>0.255</v>
      </c>
      <c r="C8" t="n">
        <v>1104</v>
      </c>
      <c r="D8" t="inlineStr">
        <is>
          <t>&lt; .001</t>
        </is>
      </c>
      <c r="E8" t="inlineStr">
        <is>
          <t>[0.199, 0.309]</t>
        </is>
      </c>
      <c r="F8" t="inlineStr">
        <is>
          <t>&lt; .001</t>
        </is>
      </c>
      <c r="G8" t="inlineStr">
        <is>
          <t>✓</t>
        </is>
      </c>
    </row>
    <row r="9">
      <c r="A9" t="inlineStr">
        <is>
          <t>L Fusiform</t>
        </is>
      </c>
      <c r="B9" t="n">
        <v>0.223</v>
      </c>
      <c r="C9" t="n">
        <v>1104</v>
      </c>
      <c r="D9" t="inlineStr">
        <is>
          <t>&lt; .001</t>
        </is>
      </c>
      <c r="E9" t="inlineStr">
        <is>
          <t>[0.166, 0.278]</t>
        </is>
      </c>
      <c r="F9" t="inlineStr">
        <is>
          <t>&lt; .001</t>
        </is>
      </c>
      <c r="G9" t="inlineStr">
        <is>
          <t>✓</t>
        </is>
      </c>
    </row>
    <row r="10">
      <c r="A10" t="inlineStr">
        <is>
          <t>L Inferiorparietal</t>
        </is>
      </c>
      <c r="B10" t="n">
        <v>0.211</v>
      </c>
      <c r="C10" t="n">
        <v>1104</v>
      </c>
      <c r="D10" t="inlineStr">
        <is>
          <t>&lt; .001</t>
        </is>
      </c>
      <c r="E10" t="inlineStr">
        <is>
          <t>[0.154, 0.267]</t>
        </is>
      </c>
      <c r="F10" t="inlineStr">
        <is>
          <t>&lt; .001</t>
        </is>
      </c>
      <c r="G10" t="inlineStr">
        <is>
          <t>✓</t>
        </is>
      </c>
    </row>
    <row r="11">
      <c r="A11" t="inlineStr">
        <is>
          <t>L Inferiortemporal</t>
        </is>
      </c>
      <c r="B11" t="n">
        <v>0.295</v>
      </c>
      <c r="C11" t="n">
        <v>1104</v>
      </c>
      <c r="D11" t="inlineStr">
        <is>
          <t>&lt; .001</t>
        </is>
      </c>
      <c r="E11" t="inlineStr">
        <is>
          <t>[0.240, 0.348]</t>
        </is>
      </c>
      <c r="F11" t="inlineStr">
        <is>
          <t>&lt; .001</t>
        </is>
      </c>
      <c r="G11" t="inlineStr">
        <is>
          <t>✓</t>
        </is>
      </c>
    </row>
    <row r="12">
      <c r="A12" t="inlineStr">
        <is>
          <t>L Isthmuscingulate</t>
        </is>
      </c>
      <c r="B12" t="n">
        <v>0.094</v>
      </c>
      <c r="C12" t="n">
        <v>1104</v>
      </c>
      <c r="D12">
        <f> 0.002</f>
        <v/>
      </c>
      <c r="E12" t="inlineStr">
        <is>
          <t>[0.036, 0.153]</t>
        </is>
      </c>
      <c r="F12">
        <f> 0.002</f>
        <v/>
      </c>
      <c r="G12" t="inlineStr">
        <is>
          <t>✓</t>
        </is>
      </c>
    </row>
    <row r="13">
      <c r="A13" t="inlineStr">
        <is>
          <t>L Lateraloccipital</t>
        </is>
      </c>
      <c r="B13" t="n">
        <v>0.188</v>
      </c>
      <c r="C13" t="n">
        <v>1104</v>
      </c>
      <c r="D13" t="inlineStr">
        <is>
          <t>&lt; .001</t>
        </is>
      </c>
      <c r="E13" t="inlineStr">
        <is>
          <t>[0.130, 0.244]</t>
        </is>
      </c>
      <c r="F13" t="inlineStr">
        <is>
          <t>&lt; .001</t>
        </is>
      </c>
      <c r="G13" t="inlineStr">
        <is>
          <t>✓</t>
        </is>
      </c>
    </row>
    <row r="14">
      <c r="A14" t="inlineStr">
        <is>
          <t>L Lateralorbitofrontal</t>
        </is>
      </c>
      <c r="B14" t="n">
        <v>0.241</v>
      </c>
      <c r="C14" t="n">
        <v>1104</v>
      </c>
      <c r="D14" t="inlineStr">
        <is>
          <t>&lt; .001</t>
        </is>
      </c>
      <c r="E14" t="inlineStr">
        <is>
          <t>[0.185, 0.296]</t>
        </is>
      </c>
      <c r="F14" t="inlineStr">
        <is>
          <t>&lt; .001</t>
        </is>
      </c>
      <c r="G14" t="inlineStr">
        <is>
          <t>✓</t>
        </is>
      </c>
    </row>
    <row r="15">
      <c r="A15" t="inlineStr">
        <is>
          <t>L Lingual</t>
        </is>
      </c>
      <c r="B15" t="n">
        <v>0.164</v>
      </c>
      <c r="C15" t="n">
        <v>1104</v>
      </c>
      <c r="D15" t="inlineStr">
        <is>
          <t>&lt; .001</t>
        </is>
      </c>
      <c r="E15" t="inlineStr">
        <is>
          <t>[0.106, 0.221]</t>
        </is>
      </c>
      <c r="F15" t="inlineStr">
        <is>
          <t>&lt; .001</t>
        </is>
      </c>
      <c r="G15" t="inlineStr">
        <is>
          <t>✓</t>
        </is>
      </c>
    </row>
    <row r="16">
      <c r="A16" t="inlineStr">
        <is>
          <t>L Medialorbitofrontal</t>
        </is>
      </c>
      <c r="B16" t="n">
        <v>0.154</v>
      </c>
      <c r="C16" t="n">
        <v>1104</v>
      </c>
      <c r="D16" t="inlineStr">
        <is>
          <t>&lt; .001</t>
        </is>
      </c>
      <c r="E16" t="inlineStr">
        <is>
          <t>[0.096, 0.212]</t>
        </is>
      </c>
      <c r="F16" t="inlineStr">
        <is>
          <t>&lt; .001</t>
        </is>
      </c>
      <c r="G16" t="inlineStr">
        <is>
          <t>✓</t>
        </is>
      </c>
    </row>
    <row r="17">
      <c r="A17" t="inlineStr">
        <is>
          <t>L Middletemporal</t>
        </is>
      </c>
      <c r="B17" t="n">
        <v>0.264</v>
      </c>
      <c r="C17" t="n">
        <v>1104</v>
      </c>
      <c r="D17" t="inlineStr">
        <is>
          <t>&lt; .001</t>
        </is>
      </c>
      <c r="E17" t="inlineStr">
        <is>
          <t>[0.209, 0.318]</t>
        </is>
      </c>
      <c r="F17" t="inlineStr">
        <is>
          <t>&lt; .001</t>
        </is>
      </c>
      <c r="G17" t="inlineStr">
        <is>
          <t>✓</t>
        </is>
      </c>
    </row>
    <row r="18">
      <c r="A18" t="inlineStr">
        <is>
          <t>L Parahippocampal</t>
        </is>
      </c>
      <c r="B18" t="n">
        <v>0.135</v>
      </c>
      <c r="C18" t="n">
        <v>1104</v>
      </c>
      <c r="D18" t="inlineStr">
        <is>
          <t>&lt; .001</t>
        </is>
      </c>
      <c r="E18" t="inlineStr">
        <is>
          <t>[0.076, 0.192]</t>
        </is>
      </c>
      <c r="F18" t="inlineStr">
        <is>
          <t>&lt; .001</t>
        </is>
      </c>
      <c r="G18" t="inlineStr">
        <is>
          <t>✓</t>
        </is>
      </c>
    </row>
    <row r="19">
      <c r="A19" t="inlineStr">
        <is>
          <t>L Paracentral</t>
        </is>
      </c>
      <c r="B19" t="n">
        <v>0.159</v>
      </c>
      <c r="C19" t="n">
        <v>1104</v>
      </c>
      <c r="D19" t="inlineStr">
        <is>
          <t>&lt; .001</t>
        </is>
      </c>
      <c r="E19" t="inlineStr">
        <is>
          <t>[0.101, 0.216]</t>
        </is>
      </c>
      <c r="F19" t="inlineStr">
        <is>
          <t>&lt; .001</t>
        </is>
      </c>
      <c r="G19" t="inlineStr">
        <is>
          <t>✓</t>
        </is>
      </c>
    </row>
    <row r="20">
      <c r="A20" t="inlineStr">
        <is>
          <t>L Parsopercularis</t>
        </is>
      </c>
      <c r="B20" t="n">
        <v>0.174</v>
      </c>
      <c r="C20" t="n">
        <v>1104</v>
      </c>
      <c r="D20" t="inlineStr">
        <is>
          <t>&lt; .001</t>
        </is>
      </c>
      <c r="E20" t="inlineStr">
        <is>
          <t>[0.116, 0.230]</t>
        </is>
      </c>
      <c r="F20" t="inlineStr">
        <is>
          <t>&lt; .001</t>
        </is>
      </c>
      <c r="G20" t="inlineStr">
        <is>
          <t>✓</t>
        </is>
      </c>
    </row>
    <row r="21">
      <c r="A21" t="inlineStr">
        <is>
          <t>L Parsorbitalis</t>
        </is>
      </c>
      <c r="B21" t="n">
        <v>0.179</v>
      </c>
      <c r="C21" t="n">
        <v>1104</v>
      </c>
      <c r="D21" t="inlineStr">
        <is>
          <t>&lt; .001</t>
        </is>
      </c>
      <c r="E21" t="inlineStr">
        <is>
          <t>[0.121, 0.236]</t>
        </is>
      </c>
      <c r="F21" t="inlineStr">
        <is>
          <t>&lt; .001</t>
        </is>
      </c>
      <c r="G21" t="inlineStr">
        <is>
          <t>✓</t>
        </is>
      </c>
    </row>
    <row r="22">
      <c r="A22" t="inlineStr">
        <is>
          <t>L Parstriangularis</t>
        </is>
      </c>
      <c r="B22" t="n">
        <v>0.114</v>
      </c>
      <c r="C22" t="n">
        <v>1104</v>
      </c>
      <c r="D22" t="inlineStr">
        <is>
          <t>&lt; .001</t>
        </is>
      </c>
      <c r="E22" t="inlineStr">
        <is>
          <t>[0.056, 0.172]</t>
        </is>
      </c>
      <c r="F22" t="inlineStr">
        <is>
          <t>&lt; .001</t>
        </is>
      </c>
      <c r="G22" t="inlineStr">
        <is>
          <t>✓</t>
        </is>
      </c>
    </row>
    <row r="23">
      <c r="A23" t="inlineStr">
        <is>
          <t>L Pericalcarine</t>
        </is>
      </c>
      <c r="B23" t="n">
        <v>0.184</v>
      </c>
      <c r="C23" t="n">
        <v>1104</v>
      </c>
      <c r="D23" t="inlineStr">
        <is>
          <t>&lt; .001</t>
        </is>
      </c>
      <c r="E23" t="inlineStr">
        <is>
          <t>[0.126, 0.240]</t>
        </is>
      </c>
      <c r="F23" t="inlineStr">
        <is>
          <t>&lt; .001</t>
        </is>
      </c>
      <c r="G23" t="inlineStr">
        <is>
          <t>✓</t>
        </is>
      </c>
    </row>
    <row r="24">
      <c r="A24" t="inlineStr">
        <is>
          <t>L Postcentral</t>
        </is>
      </c>
      <c r="B24" t="n">
        <v>0.221</v>
      </c>
      <c r="C24" t="n">
        <v>1104</v>
      </c>
      <c r="D24" t="inlineStr">
        <is>
          <t>&lt; .001</t>
        </is>
      </c>
      <c r="E24" t="inlineStr">
        <is>
          <t>[0.164, 0.276]</t>
        </is>
      </c>
      <c r="F24" t="inlineStr">
        <is>
          <t>&lt; .001</t>
        </is>
      </c>
      <c r="G24" t="inlineStr">
        <is>
          <t>✓</t>
        </is>
      </c>
    </row>
    <row r="25">
      <c r="A25" t="inlineStr">
        <is>
          <t>L Posteriorcingulate</t>
        </is>
      </c>
      <c r="B25" t="n">
        <v>0.159</v>
      </c>
      <c r="C25" t="n">
        <v>1104</v>
      </c>
      <c r="D25" t="inlineStr">
        <is>
          <t>&lt; .001</t>
        </is>
      </c>
      <c r="E25" t="inlineStr">
        <is>
          <t>[0.101, 0.216]</t>
        </is>
      </c>
      <c r="F25" t="inlineStr">
        <is>
          <t>&lt; .001</t>
        </is>
      </c>
      <c r="G25" t="inlineStr">
        <is>
          <t>✓</t>
        </is>
      </c>
    </row>
    <row r="26">
      <c r="A26" t="inlineStr">
        <is>
          <t>L Precentral</t>
        </is>
      </c>
      <c r="B26" t="n">
        <v>0.238</v>
      </c>
      <c r="C26" t="n">
        <v>1104</v>
      </c>
      <c r="D26" t="inlineStr">
        <is>
          <t>&lt; .001</t>
        </is>
      </c>
      <c r="E26" t="inlineStr">
        <is>
          <t>[0.182, 0.293]</t>
        </is>
      </c>
      <c r="F26" t="inlineStr">
        <is>
          <t>&lt; .001</t>
        </is>
      </c>
      <c r="G26" t="inlineStr">
        <is>
          <t>✓</t>
        </is>
      </c>
    </row>
    <row r="27">
      <c r="A27" t="inlineStr">
        <is>
          <t>L Precuneus</t>
        </is>
      </c>
      <c r="B27" t="n">
        <v>0.262</v>
      </c>
      <c r="C27" t="n">
        <v>1104</v>
      </c>
      <c r="D27" t="inlineStr">
        <is>
          <t>&lt; .001</t>
        </is>
      </c>
      <c r="E27" t="inlineStr">
        <is>
          <t>[0.206, 0.316]</t>
        </is>
      </c>
      <c r="F27" t="inlineStr">
        <is>
          <t>&lt; .001</t>
        </is>
      </c>
      <c r="G27" t="inlineStr">
        <is>
          <t>✓</t>
        </is>
      </c>
    </row>
    <row r="28">
      <c r="A28" t="inlineStr">
        <is>
          <t>L Rostralanteriorcingulate</t>
        </is>
      </c>
      <c r="B28" t="n">
        <v>0.244</v>
      </c>
      <c r="C28" t="n">
        <v>1104</v>
      </c>
      <c r="D28" t="inlineStr">
        <is>
          <t>&lt; .001</t>
        </is>
      </c>
      <c r="E28" t="inlineStr">
        <is>
          <t>[0.188, 0.299]</t>
        </is>
      </c>
      <c r="F28" t="inlineStr">
        <is>
          <t>&lt; .001</t>
        </is>
      </c>
      <c r="G28" t="inlineStr">
        <is>
          <t>✓</t>
        </is>
      </c>
    </row>
    <row r="29">
      <c r="A29" t="inlineStr">
        <is>
          <t>L Rostralmiddlefrontal</t>
        </is>
      </c>
      <c r="B29" t="n">
        <v>0.23</v>
      </c>
      <c r="C29" t="n">
        <v>1104</v>
      </c>
      <c r="D29" t="inlineStr">
        <is>
          <t>&lt; .001</t>
        </is>
      </c>
      <c r="E29" t="inlineStr">
        <is>
          <t>[0.173, 0.285]</t>
        </is>
      </c>
      <c r="F29" t="inlineStr">
        <is>
          <t>&lt; .001</t>
        </is>
      </c>
      <c r="G29" t="inlineStr">
        <is>
          <t>✓</t>
        </is>
      </c>
    </row>
    <row r="30">
      <c r="A30" t="inlineStr">
        <is>
          <t>L Superiorfrontal</t>
        </is>
      </c>
      <c r="B30" t="n">
        <v>0.21</v>
      </c>
      <c r="C30" t="n">
        <v>1104</v>
      </c>
      <c r="D30" t="inlineStr">
        <is>
          <t>&lt; .001</t>
        </is>
      </c>
      <c r="E30" t="inlineStr">
        <is>
          <t>[0.153, 0.266]</t>
        </is>
      </c>
      <c r="F30" t="inlineStr">
        <is>
          <t>&lt; .001</t>
        </is>
      </c>
      <c r="G30" t="inlineStr">
        <is>
          <t>✓</t>
        </is>
      </c>
    </row>
    <row r="31">
      <c r="A31" t="inlineStr">
        <is>
          <t>L Superiorparietal</t>
        </is>
      </c>
      <c r="B31" t="n">
        <v>0.264</v>
      </c>
      <c r="C31" t="n">
        <v>1104</v>
      </c>
      <c r="D31" t="inlineStr">
        <is>
          <t>&lt; .001</t>
        </is>
      </c>
      <c r="E31" t="inlineStr">
        <is>
          <t>[0.208, 0.318]</t>
        </is>
      </c>
      <c r="F31" t="inlineStr">
        <is>
          <t>&lt; .001</t>
        </is>
      </c>
      <c r="G31" t="inlineStr">
        <is>
          <t>✓</t>
        </is>
      </c>
    </row>
    <row r="32">
      <c r="A32" t="inlineStr">
        <is>
          <t>L Superiortemporal</t>
        </is>
      </c>
      <c r="B32" t="n">
        <v>0.203</v>
      </c>
      <c r="C32" t="n">
        <v>1104</v>
      </c>
      <c r="D32" t="inlineStr">
        <is>
          <t>&lt; .001</t>
        </is>
      </c>
      <c r="E32" t="inlineStr">
        <is>
          <t>[0.146, 0.259]</t>
        </is>
      </c>
      <c r="F32" t="inlineStr">
        <is>
          <t>&lt; .001</t>
        </is>
      </c>
      <c r="G32" t="inlineStr">
        <is>
          <t>✓</t>
        </is>
      </c>
    </row>
    <row r="33">
      <c r="A33" t="inlineStr">
        <is>
          <t>L Supramarginal</t>
        </is>
      </c>
      <c r="B33" t="n">
        <v>0.252</v>
      </c>
      <c r="C33" t="n">
        <v>1104</v>
      </c>
      <c r="D33" t="inlineStr">
        <is>
          <t>&lt; .001</t>
        </is>
      </c>
      <c r="E33" t="inlineStr">
        <is>
          <t>[0.196, 0.307]</t>
        </is>
      </c>
      <c r="F33" t="inlineStr">
        <is>
          <t>&lt; .001</t>
        </is>
      </c>
      <c r="G33" t="inlineStr">
        <is>
          <t>✓</t>
        </is>
      </c>
    </row>
    <row r="34">
      <c r="A34" t="inlineStr">
        <is>
          <t>L Frontalpole</t>
        </is>
      </c>
      <c r="B34" t="n">
        <v>0.131</v>
      </c>
      <c r="C34" t="n">
        <v>1104</v>
      </c>
      <c r="D34" t="inlineStr">
        <is>
          <t>&lt; .001</t>
        </is>
      </c>
      <c r="E34" t="inlineStr">
        <is>
          <t>[0.073, 0.189]</t>
        </is>
      </c>
      <c r="F34" t="inlineStr">
        <is>
          <t>&lt; .001</t>
        </is>
      </c>
      <c r="G34" t="inlineStr">
        <is>
          <t>✓</t>
        </is>
      </c>
    </row>
    <row r="35">
      <c r="A35" t="inlineStr">
        <is>
          <t>L Temporalpole</t>
        </is>
      </c>
      <c r="B35" t="n">
        <v>0.206</v>
      </c>
      <c r="C35" t="n">
        <v>1104</v>
      </c>
      <c r="D35" t="inlineStr">
        <is>
          <t>&lt; .001</t>
        </is>
      </c>
      <c r="E35" t="inlineStr">
        <is>
          <t>[0.148, 0.261]</t>
        </is>
      </c>
      <c r="F35" t="inlineStr">
        <is>
          <t>&lt; .001</t>
        </is>
      </c>
      <c r="G35" t="inlineStr">
        <is>
          <t>✓</t>
        </is>
      </c>
    </row>
    <row r="36">
      <c r="A36" t="inlineStr">
        <is>
          <t>L Transversetemporal</t>
        </is>
      </c>
      <c r="B36" t="n">
        <v>0.123</v>
      </c>
      <c r="C36" t="n">
        <v>1104</v>
      </c>
      <c r="D36" t="inlineStr">
        <is>
          <t>&lt; .001</t>
        </is>
      </c>
      <c r="E36" t="inlineStr">
        <is>
          <t>[0.064, 0.180]</t>
        </is>
      </c>
      <c r="F36" t="inlineStr">
        <is>
          <t>&lt; .001</t>
        </is>
      </c>
      <c r="G36" t="inlineStr">
        <is>
          <t>✓</t>
        </is>
      </c>
    </row>
    <row r="37">
      <c r="A37" t="inlineStr">
        <is>
          <t>L Insula</t>
        </is>
      </c>
      <c r="B37" t="n">
        <v>0.197</v>
      </c>
      <c r="C37" t="n">
        <v>1104</v>
      </c>
      <c r="D37" t="inlineStr">
        <is>
          <t>&lt; .001</t>
        </is>
      </c>
      <c r="E37" t="inlineStr">
        <is>
          <t>[0.140, 0.253]</t>
        </is>
      </c>
      <c r="F37" t="inlineStr">
        <is>
          <t>&lt; .001</t>
        </is>
      </c>
      <c r="G37" t="inlineStr">
        <is>
          <t>✓</t>
        </is>
      </c>
    </row>
    <row r="38">
      <c r="A38" t="inlineStr">
        <is>
          <t>R Bankssts</t>
        </is>
      </c>
      <c r="B38" t="n">
        <v>0.16</v>
      </c>
      <c r="C38" t="n">
        <v>1104</v>
      </c>
      <c r="D38" t="inlineStr">
        <is>
          <t>&lt; .001</t>
        </is>
      </c>
      <c r="E38" t="inlineStr">
        <is>
          <t>[0.102, 0.217]</t>
        </is>
      </c>
      <c r="F38" t="inlineStr">
        <is>
          <t>&lt; .001</t>
        </is>
      </c>
      <c r="G38" t="inlineStr">
        <is>
          <t>✓</t>
        </is>
      </c>
    </row>
    <row r="39">
      <c r="A39" t="inlineStr">
        <is>
          <t>R Caudalanteriorcingulate</t>
        </is>
      </c>
      <c r="B39" t="n">
        <v>0.07099999999999999</v>
      </c>
      <c r="C39" t="n">
        <v>1104</v>
      </c>
      <c r="D39">
        <f> 0.019</f>
        <v/>
      </c>
      <c r="E39" t="inlineStr">
        <is>
          <t>[0.012, 0.129]</t>
        </is>
      </c>
      <c r="F39">
        <f> 0.019</f>
        <v/>
      </c>
      <c r="G39" t="inlineStr">
        <is>
          <t>✓</t>
        </is>
      </c>
    </row>
    <row r="40">
      <c r="A40" t="inlineStr">
        <is>
          <t>R Caudalmiddlefrontal</t>
        </is>
      </c>
      <c r="B40" t="n">
        <v>0.165</v>
      </c>
      <c r="C40" t="n">
        <v>1104</v>
      </c>
      <c r="D40" t="inlineStr">
        <is>
          <t>&lt; .001</t>
        </is>
      </c>
      <c r="E40" t="inlineStr">
        <is>
          <t>[0.107, 0.222]</t>
        </is>
      </c>
      <c r="F40" t="inlineStr">
        <is>
          <t>&lt; .001</t>
        </is>
      </c>
      <c r="G40" t="inlineStr">
        <is>
          <t>✓</t>
        </is>
      </c>
    </row>
    <row r="41">
      <c r="A41" t="inlineStr">
        <is>
          <t>R Cuneus</t>
        </is>
      </c>
      <c r="B41" t="n">
        <v>0.188</v>
      </c>
      <c r="C41" t="n">
        <v>1104</v>
      </c>
      <c r="D41" t="inlineStr">
        <is>
          <t>&lt; .001</t>
        </is>
      </c>
      <c r="E41" t="inlineStr">
        <is>
          <t>[0.131, 0.245]</t>
        </is>
      </c>
      <c r="F41" t="inlineStr">
        <is>
          <t>&lt; .001</t>
        </is>
      </c>
      <c r="G41" t="inlineStr">
        <is>
          <t>✓</t>
        </is>
      </c>
    </row>
    <row r="42">
      <c r="A42" t="inlineStr">
        <is>
          <t>R Entorhinal</t>
        </is>
      </c>
      <c r="B42" t="n">
        <v>0.179</v>
      </c>
      <c r="C42" t="n">
        <v>1104</v>
      </c>
      <c r="D42" t="inlineStr">
        <is>
          <t>&lt; .001</t>
        </is>
      </c>
      <c r="E42" t="inlineStr">
        <is>
          <t>[0.121, 0.235]</t>
        </is>
      </c>
      <c r="F42" t="inlineStr">
        <is>
          <t>&lt; .001</t>
        </is>
      </c>
      <c r="G42" t="inlineStr">
        <is>
          <t>✓</t>
        </is>
      </c>
    </row>
    <row r="43">
      <c r="A43" t="inlineStr">
        <is>
          <t>R Fusiform</t>
        </is>
      </c>
      <c r="B43" t="n">
        <v>0.198</v>
      </c>
      <c r="C43" t="n">
        <v>1104</v>
      </c>
      <c r="D43" t="inlineStr">
        <is>
          <t>&lt; .001</t>
        </is>
      </c>
      <c r="E43" t="inlineStr">
        <is>
          <t>[0.141, 0.254]</t>
        </is>
      </c>
      <c r="F43" t="inlineStr">
        <is>
          <t>&lt; .001</t>
        </is>
      </c>
      <c r="G43" t="inlineStr">
        <is>
          <t>✓</t>
        </is>
      </c>
    </row>
    <row r="44">
      <c r="A44" t="inlineStr">
        <is>
          <t>R Inferiorparietal</t>
        </is>
      </c>
      <c r="B44" t="n">
        <v>0.218</v>
      </c>
      <c r="C44" t="n">
        <v>1104</v>
      </c>
      <c r="D44" t="inlineStr">
        <is>
          <t>&lt; .001</t>
        </is>
      </c>
      <c r="E44" t="inlineStr">
        <is>
          <t>[0.161, 0.273]</t>
        </is>
      </c>
      <c r="F44" t="inlineStr">
        <is>
          <t>&lt; .001</t>
        </is>
      </c>
      <c r="G44" t="inlineStr">
        <is>
          <t>✓</t>
        </is>
      </c>
    </row>
    <row r="45">
      <c r="A45" t="inlineStr">
        <is>
          <t>R Inferiortemporal</t>
        </is>
      </c>
      <c r="B45" t="n">
        <v>0.266</v>
      </c>
      <c r="C45" t="n">
        <v>1104</v>
      </c>
      <c r="D45" t="inlineStr">
        <is>
          <t>&lt; .001</t>
        </is>
      </c>
      <c r="E45" t="inlineStr">
        <is>
          <t>[0.210, 0.320]</t>
        </is>
      </c>
      <c r="F45" t="inlineStr">
        <is>
          <t>&lt; .001</t>
        </is>
      </c>
      <c r="G45" t="inlineStr">
        <is>
          <t>✓</t>
        </is>
      </c>
    </row>
    <row r="46">
      <c r="A46" t="inlineStr">
        <is>
          <t>R Isthmuscingulate</t>
        </is>
      </c>
      <c r="B46" t="n">
        <v>0.131</v>
      </c>
      <c r="C46" t="n">
        <v>1104</v>
      </c>
      <c r="D46" t="inlineStr">
        <is>
          <t>&lt; .001</t>
        </is>
      </c>
      <c r="E46" t="inlineStr">
        <is>
          <t>[0.072, 0.188]</t>
        </is>
      </c>
      <c r="F46" t="inlineStr">
        <is>
          <t>&lt; .001</t>
        </is>
      </c>
      <c r="G46" t="inlineStr">
        <is>
          <t>✓</t>
        </is>
      </c>
    </row>
    <row r="47">
      <c r="A47" t="inlineStr">
        <is>
          <t>R Lateraloccipital</t>
        </is>
      </c>
      <c r="B47" t="n">
        <v>0.2</v>
      </c>
      <c r="C47" t="n">
        <v>1104</v>
      </c>
      <c r="D47" t="inlineStr">
        <is>
          <t>&lt; .001</t>
        </is>
      </c>
      <c r="E47" t="inlineStr">
        <is>
          <t>[0.143, 0.256]</t>
        </is>
      </c>
      <c r="F47" t="inlineStr">
        <is>
          <t>&lt; .001</t>
        </is>
      </c>
      <c r="G47" t="inlineStr">
        <is>
          <t>✓</t>
        </is>
      </c>
    </row>
    <row r="48">
      <c r="A48" t="inlineStr">
        <is>
          <t>R Lateralorbitofrontal</t>
        </is>
      </c>
      <c r="B48" t="n">
        <v>0.211</v>
      </c>
      <c r="C48" t="n">
        <v>1104</v>
      </c>
      <c r="D48" t="inlineStr">
        <is>
          <t>&lt; .001</t>
        </is>
      </c>
      <c r="E48" t="inlineStr">
        <is>
          <t>[0.154, 0.267]</t>
        </is>
      </c>
      <c r="F48" t="inlineStr">
        <is>
          <t>&lt; .001</t>
        </is>
      </c>
      <c r="G48" t="inlineStr">
        <is>
          <t>✓</t>
        </is>
      </c>
    </row>
    <row r="49">
      <c r="A49" t="inlineStr">
        <is>
          <t>R Lingual</t>
        </is>
      </c>
      <c r="B49" t="n">
        <v>0.192</v>
      </c>
      <c r="C49" t="n">
        <v>1104</v>
      </c>
      <c r="D49" t="inlineStr">
        <is>
          <t>&lt; .001</t>
        </is>
      </c>
      <c r="E49" t="inlineStr">
        <is>
          <t>[0.135, 0.248]</t>
        </is>
      </c>
      <c r="F49" t="inlineStr">
        <is>
          <t>&lt; .001</t>
        </is>
      </c>
      <c r="G49" t="inlineStr">
        <is>
          <t>✓</t>
        </is>
      </c>
    </row>
    <row r="50">
      <c r="A50" t="inlineStr">
        <is>
          <t>R Medialorbitofrontal</t>
        </is>
      </c>
      <c r="B50" t="n">
        <v>0.184</v>
      </c>
      <c r="C50" t="n">
        <v>1104</v>
      </c>
      <c r="D50" t="inlineStr">
        <is>
          <t>&lt; .001</t>
        </is>
      </c>
      <c r="E50" t="inlineStr">
        <is>
          <t>[0.126, 0.240]</t>
        </is>
      </c>
      <c r="F50" t="inlineStr">
        <is>
          <t>&lt; .001</t>
        </is>
      </c>
      <c r="G50" t="inlineStr">
        <is>
          <t>✓</t>
        </is>
      </c>
    </row>
    <row r="51">
      <c r="A51" t="inlineStr">
        <is>
          <t>R Middletemporal</t>
        </is>
      </c>
      <c r="B51" t="n">
        <v>0.285</v>
      </c>
      <c r="C51" t="n">
        <v>1104</v>
      </c>
      <c r="D51" t="inlineStr">
        <is>
          <t>&lt; .001</t>
        </is>
      </c>
      <c r="E51" t="inlineStr">
        <is>
          <t>[0.230, 0.338]</t>
        </is>
      </c>
      <c r="F51" t="inlineStr">
        <is>
          <t>&lt; .001</t>
        </is>
      </c>
      <c r="G51" t="inlineStr">
        <is>
          <t>✓</t>
        </is>
      </c>
    </row>
    <row r="52">
      <c r="A52" t="inlineStr">
        <is>
          <t>R Parahippocampal</t>
        </is>
      </c>
      <c r="B52" t="n">
        <v>0.186</v>
      </c>
      <c r="C52" t="n">
        <v>1104</v>
      </c>
      <c r="D52" t="inlineStr">
        <is>
          <t>&lt; .001</t>
        </is>
      </c>
      <c r="E52" t="inlineStr">
        <is>
          <t>[0.129, 0.243]</t>
        </is>
      </c>
      <c r="F52" t="inlineStr">
        <is>
          <t>&lt; .001</t>
        </is>
      </c>
      <c r="G52" t="inlineStr">
        <is>
          <t>✓</t>
        </is>
      </c>
    </row>
    <row r="53">
      <c r="A53" t="inlineStr">
        <is>
          <t>R Paracentral</t>
        </is>
      </c>
      <c r="B53" t="n">
        <v>0.123</v>
      </c>
      <c r="C53" t="n">
        <v>1104</v>
      </c>
      <c r="D53" t="inlineStr">
        <is>
          <t>&lt; .001</t>
        </is>
      </c>
      <c r="E53" t="inlineStr">
        <is>
          <t>[0.065, 0.181]</t>
        </is>
      </c>
      <c r="F53" t="inlineStr">
        <is>
          <t>&lt; .001</t>
        </is>
      </c>
      <c r="G53" t="inlineStr">
        <is>
          <t>✓</t>
        </is>
      </c>
    </row>
    <row r="54">
      <c r="A54" t="inlineStr">
        <is>
          <t>R Parsopercularis</t>
        </is>
      </c>
      <c r="B54" t="n">
        <v>0.203</v>
      </c>
      <c r="C54" t="n">
        <v>1104</v>
      </c>
      <c r="D54" t="inlineStr">
        <is>
          <t>&lt; .001</t>
        </is>
      </c>
      <c r="E54" t="inlineStr">
        <is>
          <t>[0.145, 0.259]</t>
        </is>
      </c>
      <c r="F54" t="inlineStr">
        <is>
          <t>&lt; .001</t>
        </is>
      </c>
      <c r="G54" t="inlineStr">
        <is>
          <t>✓</t>
        </is>
      </c>
    </row>
    <row r="55">
      <c r="A55" t="inlineStr">
        <is>
          <t>R Parsorbitalis</t>
        </is>
      </c>
      <c r="B55" t="n">
        <v>0.185</v>
      </c>
      <c r="C55" t="n">
        <v>1104</v>
      </c>
      <c r="D55" t="inlineStr">
        <is>
          <t>&lt; .001</t>
        </is>
      </c>
      <c r="E55" t="inlineStr">
        <is>
          <t>[0.128, 0.242]</t>
        </is>
      </c>
      <c r="F55" t="inlineStr">
        <is>
          <t>&lt; .001</t>
        </is>
      </c>
      <c r="G55" t="inlineStr">
        <is>
          <t>✓</t>
        </is>
      </c>
    </row>
    <row r="56">
      <c r="A56" t="inlineStr">
        <is>
          <t>R Parstriangularis</t>
        </is>
      </c>
      <c r="B56" t="n">
        <v>0.113</v>
      </c>
      <c r="C56" t="n">
        <v>1104</v>
      </c>
      <c r="D56" t="inlineStr">
        <is>
          <t>&lt; .001</t>
        </is>
      </c>
      <c r="E56" t="inlineStr">
        <is>
          <t>[0.054, 0.171]</t>
        </is>
      </c>
      <c r="F56" t="inlineStr">
        <is>
          <t>&lt; .001</t>
        </is>
      </c>
      <c r="G56" t="inlineStr">
        <is>
          <t>✓</t>
        </is>
      </c>
    </row>
    <row r="57">
      <c r="A57" t="inlineStr">
        <is>
          <t>R Pericalcarine</t>
        </is>
      </c>
      <c r="B57" t="n">
        <v>0.122</v>
      </c>
      <c r="C57" t="n">
        <v>1104</v>
      </c>
      <c r="D57" t="inlineStr">
        <is>
          <t>&lt; .001</t>
        </is>
      </c>
      <c r="E57" t="inlineStr">
        <is>
          <t>[0.063, 0.179]</t>
        </is>
      </c>
      <c r="F57" t="inlineStr">
        <is>
          <t>&lt; .001</t>
        </is>
      </c>
      <c r="G57" t="inlineStr">
        <is>
          <t>✓</t>
        </is>
      </c>
    </row>
    <row r="58">
      <c r="A58" t="inlineStr">
        <is>
          <t>R Postcentral</t>
        </is>
      </c>
      <c r="B58" t="n">
        <v>0.238</v>
      </c>
      <c r="C58" t="n">
        <v>1104</v>
      </c>
      <c r="D58" t="inlineStr">
        <is>
          <t>&lt; .001</t>
        </is>
      </c>
      <c r="E58" t="inlineStr">
        <is>
          <t>[0.182, 0.293]</t>
        </is>
      </c>
      <c r="F58" t="inlineStr">
        <is>
          <t>&lt; .001</t>
        </is>
      </c>
      <c r="G58" t="inlineStr">
        <is>
          <t>✓</t>
        </is>
      </c>
    </row>
    <row r="59">
      <c r="A59" t="inlineStr">
        <is>
          <t>R Posteriorcingulate</t>
        </is>
      </c>
      <c r="B59" t="n">
        <v>0.175</v>
      </c>
      <c r="C59" t="n">
        <v>1104</v>
      </c>
      <c r="D59" t="inlineStr">
        <is>
          <t>&lt; .001</t>
        </is>
      </c>
      <c r="E59" t="inlineStr">
        <is>
          <t>[0.117, 0.231]</t>
        </is>
      </c>
      <c r="F59" t="inlineStr">
        <is>
          <t>&lt; .001</t>
        </is>
      </c>
      <c r="G59" t="inlineStr">
        <is>
          <t>✓</t>
        </is>
      </c>
    </row>
    <row r="60">
      <c r="A60" t="inlineStr">
        <is>
          <t>R Precentral</t>
        </is>
      </c>
      <c r="B60" t="n">
        <v>0.23</v>
      </c>
      <c r="C60" t="n">
        <v>1104</v>
      </c>
      <c r="D60" t="inlineStr">
        <is>
          <t>&lt; .001</t>
        </is>
      </c>
      <c r="E60" t="inlineStr">
        <is>
          <t>[0.174, 0.286]</t>
        </is>
      </c>
      <c r="F60" t="inlineStr">
        <is>
          <t>&lt; .001</t>
        </is>
      </c>
      <c r="G60" t="inlineStr">
        <is>
          <t>✓</t>
        </is>
      </c>
    </row>
    <row r="61">
      <c r="A61" t="inlineStr">
        <is>
          <t>R Precuneus</t>
        </is>
      </c>
      <c r="B61" t="n">
        <v>0.248</v>
      </c>
      <c r="C61" t="n">
        <v>1104</v>
      </c>
      <c r="D61" t="inlineStr">
        <is>
          <t>&lt; .001</t>
        </is>
      </c>
      <c r="E61" t="inlineStr">
        <is>
          <t>[0.192, 0.302]</t>
        </is>
      </c>
      <c r="F61" t="inlineStr">
        <is>
          <t>&lt; .001</t>
        </is>
      </c>
      <c r="G61" t="inlineStr">
        <is>
          <t>✓</t>
        </is>
      </c>
    </row>
    <row r="62">
      <c r="A62" t="inlineStr">
        <is>
          <t>R Rostralanteriorcingulate</t>
        </is>
      </c>
      <c r="B62" t="n">
        <v>0.166</v>
      </c>
      <c r="C62" t="n">
        <v>1104</v>
      </c>
      <c r="D62" t="inlineStr">
        <is>
          <t>&lt; .001</t>
        </is>
      </c>
      <c r="E62" t="inlineStr">
        <is>
          <t>[0.108, 0.223]</t>
        </is>
      </c>
      <c r="F62" t="inlineStr">
        <is>
          <t>&lt; .001</t>
        </is>
      </c>
      <c r="G62" t="inlineStr">
        <is>
          <t>✓</t>
        </is>
      </c>
    </row>
    <row r="63">
      <c r="A63" t="inlineStr">
        <is>
          <t>R Rostralmiddlefrontal</t>
        </is>
      </c>
      <c r="B63" t="n">
        <v>0.231</v>
      </c>
      <c r="C63" t="n">
        <v>1104</v>
      </c>
      <c r="D63" t="inlineStr">
        <is>
          <t>&lt; .001</t>
        </is>
      </c>
      <c r="E63" t="inlineStr">
        <is>
          <t>[0.174, 0.286]</t>
        </is>
      </c>
      <c r="F63" t="inlineStr">
        <is>
          <t>&lt; .001</t>
        </is>
      </c>
      <c r="G63" t="inlineStr">
        <is>
          <t>✓</t>
        </is>
      </c>
    </row>
    <row r="64">
      <c r="A64" t="inlineStr">
        <is>
          <t>R Superiorfrontal</t>
        </is>
      </c>
      <c r="B64" t="n">
        <v>0.242</v>
      </c>
      <c r="C64" t="n">
        <v>1104</v>
      </c>
      <c r="D64" t="inlineStr">
        <is>
          <t>&lt; .001</t>
        </is>
      </c>
      <c r="E64" t="inlineStr">
        <is>
          <t>[0.185, 0.296]</t>
        </is>
      </c>
      <c r="F64" t="inlineStr">
        <is>
          <t>&lt; .001</t>
        </is>
      </c>
      <c r="G64" t="inlineStr">
        <is>
          <t>✓</t>
        </is>
      </c>
    </row>
    <row r="65">
      <c r="A65" t="inlineStr">
        <is>
          <t>R Superiorparietal</t>
        </is>
      </c>
      <c r="B65" t="n">
        <v>0.232</v>
      </c>
      <c r="C65" t="n">
        <v>1104</v>
      </c>
      <c r="D65" t="inlineStr">
        <is>
          <t>&lt; .001</t>
        </is>
      </c>
      <c r="E65" t="inlineStr">
        <is>
          <t>[0.175, 0.287]</t>
        </is>
      </c>
      <c r="F65" t="inlineStr">
        <is>
          <t>&lt; .001</t>
        </is>
      </c>
      <c r="G65" t="inlineStr">
        <is>
          <t>✓</t>
        </is>
      </c>
    </row>
    <row r="66">
      <c r="A66" t="inlineStr">
        <is>
          <t>R Superiortemporal</t>
        </is>
      </c>
      <c r="B66" t="n">
        <v>0.212</v>
      </c>
      <c r="C66" t="n">
        <v>1104</v>
      </c>
      <c r="D66" t="inlineStr">
        <is>
          <t>&lt; .001</t>
        </is>
      </c>
      <c r="E66" t="inlineStr">
        <is>
          <t>[0.155, 0.268]</t>
        </is>
      </c>
      <c r="F66" t="inlineStr">
        <is>
          <t>&lt; .001</t>
        </is>
      </c>
      <c r="G66" t="inlineStr">
        <is>
          <t>✓</t>
        </is>
      </c>
    </row>
    <row r="67">
      <c r="A67" t="inlineStr">
        <is>
          <t>R Supramarginal</t>
        </is>
      </c>
      <c r="B67" t="n">
        <v>0.236</v>
      </c>
      <c r="C67" t="n">
        <v>1104</v>
      </c>
      <c r="D67" t="inlineStr">
        <is>
          <t>&lt; .001</t>
        </is>
      </c>
      <c r="E67" t="inlineStr">
        <is>
          <t>[0.180, 0.291]</t>
        </is>
      </c>
      <c r="F67" t="inlineStr">
        <is>
          <t>&lt; .001</t>
        </is>
      </c>
      <c r="G67" t="inlineStr">
        <is>
          <t>✓</t>
        </is>
      </c>
    </row>
    <row r="68">
      <c r="A68" t="inlineStr">
        <is>
          <t>R Frontalpole</t>
        </is>
      </c>
      <c r="B68" t="n">
        <v>0.17</v>
      </c>
      <c r="C68" t="n">
        <v>1104</v>
      </c>
      <c r="D68" t="inlineStr">
        <is>
          <t>&lt; .001</t>
        </is>
      </c>
      <c r="E68" t="inlineStr">
        <is>
          <t>[0.112, 0.227]</t>
        </is>
      </c>
      <c r="F68" t="inlineStr">
        <is>
          <t>&lt; .001</t>
        </is>
      </c>
      <c r="G68" t="inlineStr">
        <is>
          <t>✓</t>
        </is>
      </c>
    </row>
    <row r="69">
      <c r="A69" t="inlineStr">
        <is>
          <t>R Temporalpole</t>
        </is>
      </c>
      <c r="B69" t="n">
        <v>0.08500000000000001</v>
      </c>
      <c r="C69" t="n">
        <v>1104</v>
      </c>
      <c r="D69">
        <f> 0.005</f>
        <v/>
      </c>
      <c r="E69" t="inlineStr">
        <is>
          <t>[0.026, 0.143]</t>
        </is>
      </c>
      <c r="F69">
        <f> 0.005</f>
        <v/>
      </c>
      <c r="G69" t="inlineStr">
        <is>
          <t>✓</t>
        </is>
      </c>
    </row>
    <row r="70">
      <c r="A70" t="inlineStr">
        <is>
          <t>R Transversetemporal</t>
        </is>
      </c>
      <c r="B70" t="n">
        <v>0.149</v>
      </c>
      <c r="C70" t="n">
        <v>1104</v>
      </c>
      <c r="D70" t="inlineStr">
        <is>
          <t>&lt; .001</t>
        </is>
      </c>
      <c r="E70" t="inlineStr">
        <is>
          <t>[0.091, 0.207]</t>
        </is>
      </c>
      <c r="F70" t="inlineStr">
        <is>
          <t>&lt; .001</t>
        </is>
      </c>
      <c r="G70" t="inlineStr">
        <is>
          <t>✓</t>
        </is>
      </c>
    </row>
    <row r="71">
      <c r="A71" t="inlineStr">
        <is>
          <t>R Insula</t>
        </is>
      </c>
      <c r="B71" t="n">
        <v>0.19</v>
      </c>
      <c r="C71" t="n">
        <v>1104</v>
      </c>
      <c r="D71" t="inlineStr">
        <is>
          <t>&lt; .001</t>
        </is>
      </c>
      <c r="E71" t="inlineStr">
        <is>
          <t>[0.132, 0.246]</t>
        </is>
      </c>
      <c r="F71" t="inlineStr">
        <is>
          <t>&lt; .001</t>
        </is>
      </c>
      <c r="G71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Pearson r (PMAT24_A_CR × DK surface area). FDR correction: Benjamini–Hochberg (q&lt;.05). 95% CI via Fisher z-transform.</t>
        </is>
      </c>
    </row>
    <row r="3">
      <c r="A3" s="1" t="inlineStr">
        <is>
          <t>ROI</t>
        </is>
      </c>
      <c r="B3" s="1" t="inlineStr">
        <is>
          <t>r</t>
        </is>
      </c>
      <c r="C3" s="1" t="inlineStr">
        <is>
          <t>n</t>
        </is>
      </c>
      <c r="D3" s="1" t="inlineStr">
        <is>
          <t>p</t>
        </is>
      </c>
      <c r="E3" s="1" t="inlineStr">
        <is>
          <t>95% CI [r]</t>
        </is>
      </c>
      <c r="F3" s="1" t="inlineStr">
        <is>
          <t>p_FDR</t>
        </is>
      </c>
      <c r="G3" s="1" t="inlineStr">
        <is>
          <t>FDR sig.</t>
        </is>
      </c>
    </row>
    <row r="4">
      <c r="A4" t="inlineStr">
        <is>
          <t>L Bankssts</t>
        </is>
      </c>
      <c r="B4" t="n">
        <v>0.143</v>
      </c>
      <c r="C4" t="n">
        <v>1104</v>
      </c>
      <c r="D4" t="inlineStr">
        <is>
          <t>&lt; .001</t>
        </is>
      </c>
      <c r="E4" t="inlineStr">
        <is>
          <t>[0.085, 0.200]</t>
        </is>
      </c>
      <c r="F4" t="inlineStr">
        <is>
          <t>&lt; .001</t>
        </is>
      </c>
      <c r="G4" t="inlineStr">
        <is>
          <t>✓</t>
        </is>
      </c>
    </row>
    <row r="5">
      <c r="A5" t="inlineStr">
        <is>
          <t>L Caudalanteriorcingulate</t>
        </is>
      </c>
      <c r="B5" t="n">
        <v>0.157</v>
      </c>
      <c r="C5" t="n">
        <v>1104</v>
      </c>
      <c r="D5" t="inlineStr">
        <is>
          <t>&lt; .001</t>
        </is>
      </c>
      <c r="E5" t="inlineStr">
        <is>
          <t>[0.099, 0.214]</t>
        </is>
      </c>
      <c r="F5" t="inlineStr">
        <is>
          <t>&lt; .001</t>
        </is>
      </c>
      <c r="G5" t="inlineStr">
        <is>
          <t>✓</t>
        </is>
      </c>
    </row>
    <row r="6">
      <c r="A6" t="inlineStr">
        <is>
          <t>L Caudalmiddlefrontal</t>
        </is>
      </c>
      <c r="B6" t="n">
        <v>0.205</v>
      </c>
      <c r="C6" t="n">
        <v>1104</v>
      </c>
      <c r="D6" t="inlineStr">
        <is>
          <t>&lt; .001</t>
        </is>
      </c>
      <c r="E6" t="inlineStr">
        <is>
          <t>[0.147, 0.261]</t>
        </is>
      </c>
      <c r="F6" t="inlineStr">
        <is>
          <t>&lt; .001</t>
        </is>
      </c>
      <c r="G6" t="inlineStr">
        <is>
          <t>✓</t>
        </is>
      </c>
    </row>
    <row r="7">
      <c r="A7" t="inlineStr">
        <is>
          <t>L Cuneus</t>
        </is>
      </c>
      <c r="B7" t="n">
        <v>0.226</v>
      </c>
      <c r="C7" t="n">
        <v>1104</v>
      </c>
      <c r="D7" t="inlineStr">
        <is>
          <t>&lt; .001</t>
        </is>
      </c>
      <c r="E7" t="inlineStr">
        <is>
          <t>[0.169, 0.281]</t>
        </is>
      </c>
      <c r="F7" t="inlineStr">
        <is>
          <t>&lt; .001</t>
        </is>
      </c>
      <c r="G7" t="inlineStr">
        <is>
          <t>✓</t>
        </is>
      </c>
    </row>
    <row r="8">
      <c r="A8" t="inlineStr">
        <is>
          <t>L Entorhinal</t>
        </is>
      </c>
      <c r="B8" t="n">
        <v>0.255</v>
      </c>
      <c r="C8" t="n">
        <v>1104</v>
      </c>
      <c r="D8" t="inlineStr">
        <is>
          <t>&lt; .001</t>
        </is>
      </c>
      <c r="E8" t="inlineStr">
        <is>
          <t>[0.199, 0.309]</t>
        </is>
      </c>
      <c r="F8" t="inlineStr">
        <is>
          <t>&lt; .001</t>
        </is>
      </c>
      <c r="G8" t="inlineStr">
        <is>
          <t>✓</t>
        </is>
      </c>
    </row>
    <row r="9">
      <c r="A9" t="inlineStr">
        <is>
          <t>L Fusiform</t>
        </is>
      </c>
      <c r="B9" t="n">
        <v>0.223</v>
      </c>
      <c r="C9" t="n">
        <v>1104</v>
      </c>
      <c r="D9" t="inlineStr">
        <is>
          <t>&lt; .001</t>
        </is>
      </c>
      <c r="E9" t="inlineStr">
        <is>
          <t>[0.166, 0.278]</t>
        </is>
      </c>
      <c r="F9" t="inlineStr">
        <is>
          <t>&lt; .001</t>
        </is>
      </c>
      <c r="G9" t="inlineStr">
        <is>
          <t>✓</t>
        </is>
      </c>
    </row>
    <row r="10">
      <c r="A10" t="inlineStr">
        <is>
          <t>L Inferiorparietal</t>
        </is>
      </c>
      <c r="B10" t="n">
        <v>0.211</v>
      </c>
      <c r="C10" t="n">
        <v>1104</v>
      </c>
      <c r="D10" t="inlineStr">
        <is>
          <t>&lt; .001</t>
        </is>
      </c>
      <c r="E10" t="inlineStr">
        <is>
          <t>[0.154, 0.267]</t>
        </is>
      </c>
      <c r="F10" t="inlineStr">
        <is>
          <t>&lt; .001</t>
        </is>
      </c>
      <c r="G10" t="inlineStr">
        <is>
          <t>✓</t>
        </is>
      </c>
    </row>
    <row r="11">
      <c r="A11" t="inlineStr">
        <is>
          <t>L Inferiortemporal</t>
        </is>
      </c>
      <c r="B11" t="n">
        <v>0.295</v>
      </c>
      <c r="C11" t="n">
        <v>1104</v>
      </c>
      <c r="D11" t="inlineStr">
        <is>
          <t>&lt; .001</t>
        </is>
      </c>
      <c r="E11" t="inlineStr">
        <is>
          <t>[0.240, 0.348]</t>
        </is>
      </c>
      <c r="F11" t="inlineStr">
        <is>
          <t>&lt; .001</t>
        </is>
      </c>
      <c r="G11" t="inlineStr">
        <is>
          <t>✓</t>
        </is>
      </c>
    </row>
    <row r="12">
      <c r="A12" t="inlineStr">
        <is>
          <t>L Isthmuscingulate</t>
        </is>
      </c>
      <c r="B12" t="n">
        <v>0.094</v>
      </c>
      <c r="C12" t="n">
        <v>1104</v>
      </c>
      <c r="D12">
        <f> 0.002</f>
        <v/>
      </c>
      <c r="E12" t="inlineStr">
        <is>
          <t>[0.036, 0.153]</t>
        </is>
      </c>
      <c r="F12">
        <f> 0.002</f>
        <v/>
      </c>
      <c r="G12" t="inlineStr">
        <is>
          <t>✓</t>
        </is>
      </c>
    </row>
    <row r="13">
      <c r="A13" t="inlineStr">
        <is>
          <t>L Lateraloccipital</t>
        </is>
      </c>
      <c r="B13" t="n">
        <v>0.188</v>
      </c>
      <c r="C13" t="n">
        <v>1104</v>
      </c>
      <c r="D13" t="inlineStr">
        <is>
          <t>&lt; .001</t>
        </is>
      </c>
      <c r="E13" t="inlineStr">
        <is>
          <t>[0.130, 0.244]</t>
        </is>
      </c>
      <c r="F13" t="inlineStr">
        <is>
          <t>&lt; .001</t>
        </is>
      </c>
      <c r="G13" t="inlineStr">
        <is>
          <t>✓</t>
        </is>
      </c>
    </row>
    <row r="14">
      <c r="A14" t="inlineStr">
        <is>
          <t>L Lateralorbitofrontal</t>
        </is>
      </c>
      <c r="B14" t="n">
        <v>0.241</v>
      </c>
      <c r="C14" t="n">
        <v>1104</v>
      </c>
      <c r="D14" t="inlineStr">
        <is>
          <t>&lt; .001</t>
        </is>
      </c>
      <c r="E14" t="inlineStr">
        <is>
          <t>[0.185, 0.296]</t>
        </is>
      </c>
      <c r="F14" t="inlineStr">
        <is>
          <t>&lt; .001</t>
        </is>
      </c>
      <c r="G14" t="inlineStr">
        <is>
          <t>✓</t>
        </is>
      </c>
    </row>
    <row r="15">
      <c r="A15" t="inlineStr">
        <is>
          <t>L Lingual</t>
        </is>
      </c>
      <c r="B15" t="n">
        <v>0.164</v>
      </c>
      <c r="C15" t="n">
        <v>1104</v>
      </c>
      <c r="D15" t="inlineStr">
        <is>
          <t>&lt; .001</t>
        </is>
      </c>
      <c r="E15" t="inlineStr">
        <is>
          <t>[0.106, 0.221]</t>
        </is>
      </c>
      <c r="F15" t="inlineStr">
        <is>
          <t>&lt; .001</t>
        </is>
      </c>
      <c r="G15" t="inlineStr">
        <is>
          <t>✓</t>
        </is>
      </c>
    </row>
    <row r="16">
      <c r="A16" t="inlineStr">
        <is>
          <t>L Medialorbitofrontal</t>
        </is>
      </c>
      <c r="B16" t="n">
        <v>0.154</v>
      </c>
      <c r="C16" t="n">
        <v>1104</v>
      </c>
      <c r="D16" t="inlineStr">
        <is>
          <t>&lt; .001</t>
        </is>
      </c>
      <c r="E16" t="inlineStr">
        <is>
          <t>[0.096, 0.212]</t>
        </is>
      </c>
      <c r="F16" t="inlineStr">
        <is>
          <t>&lt; .001</t>
        </is>
      </c>
      <c r="G16" t="inlineStr">
        <is>
          <t>✓</t>
        </is>
      </c>
    </row>
    <row r="17">
      <c r="A17" t="inlineStr">
        <is>
          <t>L Middletemporal</t>
        </is>
      </c>
      <c r="B17" t="n">
        <v>0.264</v>
      </c>
      <c r="C17" t="n">
        <v>1104</v>
      </c>
      <c r="D17" t="inlineStr">
        <is>
          <t>&lt; .001</t>
        </is>
      </c>
      <c r="E17" t="inlineStr">
        <is>
          <t>[0.209, 0.318]</t>
        </is>
      </c>
      <c r="F17" t="inlineStr">
        <is>
          <t>&lt; .001</t>
        </is>
      </c>
      <c r="G17" t="inlineStr">
        <is>
          <t>✓</t>
        </is>
      </c>
    </row>
    <row r="18">
      <c r="A18" t="inlineStr">
        <is>
          <t>L Parahippocampal</t>
        </is>
      </c>
      <c r="B18" t="n">
        <v>0.135</v>
      </c>
      <c r="C18" t="n">
        <v>1104</v>
      </c>
      <c r="D18" t="inlineStr">
        <is>
          <t>&lt; .001</t>
        </is>
      </c>
      <c r="E18" t="inlineStr">
        <is>
          <t>[0.076, 0.192]</t>
        </is>
      </c>
      <c r="F18" t="inlineStr">
        <is>
          <t>&lt; .001</t>
        </is>
      </c>
      <c r="G18" t="inlineStr">
        <is>
          <t>✓</t>
        </is>
      </c>
    </row>
    <row r="19">
      <c r="A19" t="inlineStr">
        <is>
          <t>L Paracentral</t>
        </is>
      </c>
      <c r="B19" t="n">
        <v>0.159</v>
      </c>
      <c r="C19" t="n">
        <v>1104</v>
      </c>
      <c r="D19" t="inlineStr">
        <is>
          <t>&lt; .001</t>
        </is>
      </c>
      <c r="E19" t="inlineStr">
        <is>
          <t>[0.101, 0.216]</t>
        </is>
      </c>
      <c r="F19" t="inlineStr">
        <is>
          <t>&lt; .001</t>
        </is>
      </c>
      <c r="G19" t="inlineStr">
        <is>
          <t>✓</t>
        </is>
      </c>
    </row>
    <row r="20">
      <c r="A20" t="inlineStr">
        <is>
          <t>L Parsopercularis</t>
        </is>
      </c>
      <c r="B20" t="n">
        <v>0.174</v>
      </c>
      <c r="C20" t="n">
        <v>1104</v>
      </c>
      <c r="D20" t="inlineStr">
        <is>
          <t>&lt; .001</t>
        </is>
      </c>
      <c r="E20" t="inlineStr">
        <is>
          <t>[0.116, 0.230]</t>
        </is>
      </c>
      <c r="F20" t="inlineStr">
        <is>
          <t>&lt; .001</t>
        </is>
      </c>
      <c r="G20" t="inlineStr">
        <is>
          <t>✓</t>
        </is>
      </c>
    </row>
    <row r="21">
      <c r="A21" t="inlineStr">
        <is>
          <t>L Parsorbitalis</t>
        </is>
      </c>
      <c r="B21" t="n">
        <v>0.179</v>
      </c>
      <c r="C21" t="n">
        <v>1104</v>
      </c>
      <c r="D21" t="inlineStr">
        <is>
          <t>&lt; .001</t>
        </is>
      </c>
      <c r="E21" t="inlineStr">
        <is>
          <t>[0.121, 0.236]</t>
        </is>
      </c>
      <c r="F21" t="inlineStr">
        <is>
          <t>&lt; .001</t>
        </is>
      </c>
      <c r="G21" t="inlineStr">
        <is>
          <t>✓</t>
        </is>
      </c>
    </row>
    <row r="22">
      <c r="A22" t="inlineStr">
        <is>
          <t>L Parstriangularis</t>
        </is>
      </c>
      <c r="B22" t="n">
        <v>0.114</v>
      </c>
      <c r="C22" t="n">
        <v>1104</v>
      </c>
      <c r="D22" t="inlineStr">
        <is>
          <t>&lt; .001</t>
        </is>
      </c>
      <c r="E22" t="inlineStr">
        <is>
          <t>[0.056, 0.172]</t>
        </is>
      </c>
      <c r="F22" t="inlineStr">
        <is>
          <t>&lt; .001</t>
        </is>
      </c>
      <c r="G22" t="inlineStr">
        <is>
          <t>✓</t>
        </is>
      </c>
    </row>
    <row r="23">
      <c r="A23" t="inlineStr">
        <is>
          <t>L Pericalcarine</t>
        </is>
      </c>
      <c r="B23" t="n">
        <v>0.184</v>
      </c>
      <c r="C23" t="n">
        <v>1104</v>
      </c>
      <c r="D23" t="inlineStr">
        <is>
          <t>&lt; .001</t>
        </is>
      </c>
      <c r="E23" t="inlineStr">
        <is>
          <t>[0.126, 0.240]</t>
        </is>
      </c>
      <c r="F23" t="inlineStr">
        <is>
          <t>&lt; .001</t>
        </is>
      </c>
      <c r="G23" t="inlineStr">
        <is>
          <t>✓</t>
        </is>
      </c>
    </row>
    <row r="24">
      <c r="A24" t="inlineStr">
        <is>
          <t>L Postcentral</t>
        </is>
      </c>
      <c r="B24" t="n">
        <v>0.221</v>
      </c>
      <c r="C24" t="n">
        <v>1104</v>
      </c>
      <c r="D24" t="inlineStr">
        <is>
          <t>&lt; .001</t>
        </is>
      </c>
      <c r="E24" t="inlineStr">
        <is>
          <t>[0.164, 0.276]</t>
        </is>
      </c>
      <c r="F24" t="inlineStr">
        <is>
          <t>&lt; .001</t>
        </is>
      </c>
      <c r="G24" t="inlineStr">
        <is>
          <t>✓</t>
        </is>
      </c>
    </row>
    <row r="25">
      <c r="A25" t="inlineStr">
        <is>
          <t>L Posteriorcingulate</t>
        </is>
      </c>
      <c r="B25" t="n">
        <v>0.159</v>
      </c>
      <c r="C25" t="n">
        <v>1104</v>
      </c>
      <c r="D25" t="inlineStr">
        <is>
          <t>&lt; .001</t>
        </is>
      </c>
      <c r="E25" t="inlineStr">
        <is>
          <t>[0.101, 0.216]</t>
        </is>
      </c>
      <c r="F25" t="inlineStr">
        <is>
          <t>&lt; .001</t>
        </is>
      </c>
      <c r="G25" t="inlineStr">
        <is>
          <t>✓</t>
        </is>
      </c>
    </row>
    <row r="26">
      <c r="A26" t="inlineStr">
        <is>
          <t>L Precentral</t>
        </is>
      </c>
      <c r="B26" t="n">
        <v>0.238</v>
      </c>
      <c r="C26" t="n">
        <v>1104</v>
      </c>
      <c r="D26" t="inlineStr">
        <is>
          <t>&lt; .001</t>
        </is>
      </c>
      <c r="E26" t="inlineStr">
        <is>
          <t>[0.182, 0.293]</t>
        </is>
      </c>
      <c r="F26" t="inlineStr">
        <is>
          <t>&lt; .001</t>
        </is>
      </c>
      <c r="G26" t="inlineStr">
        <is>
          <t>✓</t>
        </is>
      </c>
    </row>
    <row r="27">
      <c r="A27" t="inlineStr">
        <is>
          <t>L Precuneus</t>
        </is>
      </c>
      <c r="B27" t="n">
        <v>0.262</v>
      </c>
      <c r="C27" t="n">
        <v>1104</v>
      </c>
      <c r="D27" t="inlineStr">
        <is>
          <t>&lt; .001</t>
        </is>
      </c>
      <c r="E27" t="inlineStr">
        <is>
          <t>[0.206, 0.316]</t>
        </is>
      </c>
      <c r="F27" t="inlineStr">
        <is>
          <t>&lt; .001</t>
        </is>
      </c>
      <c r="G27" t="inlineStr">
        <is>
          <t>✓</t>
        </is>
      </c>
    </row>
    <row r="28">
      <c r="A28" t="inlineStr">
        <is>
          <t>L Rostralanteriorcingulate</t>
        </is>
      </c>
      <c r="B28" t="n">
        <v>0.244</v>
      </c>
      <c r="C28" t="n">
        <v>1104</v>
      </c>
      <c r="D28" t="inlineStr">
        <is>
          <t>&lt; .001</t>
        </is>
      </c>
      <c r="E28" t="inlineStr">
        <is>
          <t>[0.188, 0.299]</t>
        </is>
      </c>
      <c r="F28" t="inlineStr">
        <is>
          <t>&lt; .001</t>
        </is>
      </c>
      <c r="G28" t="inlineStr">
        <is>
          <t>✓</t>
        </is>
      </c>
    </row>
    <row r="29">
      <c r="A29" t="inlineStr">
        <is>
          <t>L Rostralmiddlefrontal</t>
        </is>
      </c>
      <c r="B29" t="n">
        <v>0.23</v>
      </c>
      <c r="C29" t="n">
        <v>1104</v>
      </c>
      <c r="D29" t="inlineStr">
        <is>
          <t>&lt; .001</t>
        </is>
      </c>
      <c r="E29" t="inlineStr">
        <is>
          <t>[0.173, 0.285]</t>
        </is>
      </c>
      <c r="F29" t="inlineStr">
        <is>
          <t>&lt; .001</t>
        </is>
      </c>
      <c r="G29" t="inlineStr">
        <is>
          <t>✓</t>
        </is>
      </c>
    </row>
    <row r="30">
      <c r="A30" t="inlineStr">
        <is>
          <t>L Superiorfrontal</t>
        </is>
      </c>
      <c r="B30" t="n">
        <v>0.21</v>
      </c>
      <c r="C30" t="n">
        <v>1104</v>
      </c>
      <c r="D30" t="inlineStr">
        <is>
          <t>&lt; .001</t>
        </is>
      </c>
      <c r="E30" t="inlineStr">
        <is>
          <t>[0.153, 0.266]</t>
        </is>
      </c>
      <c r="F30" t="inlineStr">
        <is>
          <t>&lt; .001</t>
        </is>
      </c>
      <c r="G30" t="inlineStr">
        <is>
          <t>✓</t>
        </is>
      </c>
    </row>
    <row r="31">
      <c r="A31" t="inlineStr">
        <is>
          <t>L Superiorparietal</t>
        </is>
      </c>
      <c r="B31" t="n">
        <v>0.264</v>
      </c>
      <c r="C31" t="n">
        <v>1104</v>
      </c>
      <c r="D31" t="inlineStr">
        <is>
          <t>&lt; .001</t>
        </is>
      </c>
      <c r="E31" t="inlineStr">
        <is>
          <t>[0.208, 0.318]</t>
        </is>
      </c>
      <c r="F31" t="inlineStr">
        <is>
          <t>&lt; .001</t>
        </is>
      </c>
      <c r="G31" t="inlineStr">
        <is>
          <t>✓</t>
        </is>
      </c>
    </row>
    <row r="32">
      <c r="A32" t="inlineStr">
        <is>
          <t>L Superiortemporal</t>
        </is>
      </c>
      <c r="B32" t="n">
        <v>0.203</v>
      </c>
      <c r="C32" t="n">
        <v>1104</v>
      </c>
      <c r="D32" t="inlineStr">
        <is>
          <t>&lt; .001</t>
        </is>
      </c>
      <c r="E32" t="inlineStr">
        <is>
          <t>[0.146, 0.259]</t>
        </is>
      </c>
      <c r="F32" t="inlineStr">
        <is>
          <t>&lt; .001</t>
        </is>
      </c>
      <c r="G32" t="inlineStr">
        <is>
          <t>✓</t>
        </is>
      </c>
    </row>
    <row r="33">
      <c r="A33" t="inlineStr">
        <is>
          <t>L Supramarginal</t>
        </is>
      </c>
      <c r="B33" t="n">
        <v>0.252</v>
      </c>
      <c r="C33" t="n">
        <v>1104</v>
      </c>
      <c r="D33" t="inlineStr">
        <is>
          <t>&lt; .001</t>
        </is>
      </c>
      <c r="E33" t="inlineStr">
        <is>
          <t>[0.196, 0.307]</t>
        </is>
      </c>
      <c r="F33" t="inlineStr">
        <is>
          <t>&lt; .001</t>
        </is>
      </c>
      <c r="G33" t="inlineStr">
        <is>
          <t>✓</t>
        </is>
      </c>
    </row>
    <row r="34">
      <c r="A34" t="inlineStr">
        <is>
          <t>L Frontalpole</t>
        </is>
      </c>
      <c r="B34" t="n">
        <v>0.131</v>
      </c>
      <c r="C34" t="n">
        <v>1104</v>
      </c>
      <c r="D34" t="inlineStr">
        <is>
          <t>&lt; .001</t>
        </is>
      </c>
      <c r="E34" t="inlineStr">
        <is>
          <t>[0.073, 0.189]</t>
        </is>
      </c>
      <c r="F34" t="inlineStr">
        <is>
          <t>&lt; .001</t>
        </is>
      </c>
      <c r="G34" t="inlineStr">
        <is>
          <t>✓</t>
        </is>
      </c>
    </row>
    <row r="35">
      <c r="A35" t="inlineStr">
        <is>
          <t>L Temporalpole</t>
        </is>
      </c>
      <c r="B35" t="n">
        <v>0.206</v>
      </c>
      <c r="C35" t="n">
        <v>1104</v>
      </c>
      <c r="D35" t="inlineStr">
        <is>
          <t>&lt; .001</t>
        </is>
      </c>
      <c r="E35" t="inlineStr">
        <is>
          <t>[0.148, 0.261]</t>
        </is>
      </c>
      <c r="F35" t="inlineStr">
        <is>
          <t>&lt; .001</t>
        </is>
      </c>
      <c r="G35" t="inlineStr">
        <is>
          <t>✓</t>
        </is>
      </c>
    </row>
    <row r="36">
      <c r="A36" t="inlineStr">
        <is>
          <t>L Transversetemporal</t>
        </is>
      </c>
      <c r="B36" t="n">
        <v>0.123</v>
      </c>
      <c r="C36" t="n">
        <v>1104</v>
      </c>
      <c r="D36" t="inlineStr">
        <is>
          <t>&lt; .001</t>
        </is>
      </c>
      <c r="E36" t="inlineStr">
        <is>
          <t>[0.064, 0.180]</t>
        </is>
      </c>
      <c r="F36" t="inlineStr">
        <is>
          <t>&lt; .001</t>
        </is>
      </c>
      <c r="G36" t="inlineStr">
        <is>
          <t>✓</t>
        </is>
      </c>
    </row>
    <row r="37">
      <c r="A37" t="inlineStr">
        <is>
          <t>L Insula</t>
        </is>
      </c>
      <c r="B37" t="n">
        <v>0.197</v>
      </c>
      <c r="C37" t="n">
        <v>1104</v>
      </c>
      <c r="D37" t="inlineStr">
        <is>
          <t>&lt; .001</t>
        </is>
      </c>
      <c r="E37" t="inlineStr">
        <is>
          <t>[0.140, 0.253]</t>
        </is>
      </c>
      <c r="F37" t="inlineStr">
        <is>
          <t>&lt; .001</t>
        </is>
      </c>
      <c r="G37" t="inlineStr">
        <is>
          <t>✓</t>
        </is>
      </c>
    </row>
    <row r="38">
      <c r="A38" t="inlineStr">
        <is>
          <t>R Bankssts</t>
        </is>
      </c>
      <c r="B38" t="n">
        <v>0.16</v>
      </c>
      <c r="C38" t="n">
        <v>1104</v>
      </c>
      <c r="D38" t="inlineStr">
        <is>
          <t>&lt; .001</t>
        </is>
      </c>
      <c r="E38" t="inlineStr">
        <is>
          <t>[0.102, 0.217]</t>
        </is>
      </c>
      <c r="F38" t="inlineStr">
        <is>
          <t>&lt; .001</t>
        </is>
      </c>
      <c r="G38" t="inlineStr">
        <is>
          <t>✓</t>
        </is>
      </c>
    </row>
    <row r="39">
      <c r="A39" t="inlineStr">
        <is>
          <t>R Caudalanteriorcingulate</t>
        </is>
      </c>
      <c r="B39" t="n">
        <v>0.07099999999999999</v>
      </c>
      <c r="C39" t="n">
        <v>1104</v>
      </c>
      <c r="D39">
        <f> 0.019</f>
        <v/>
      </c>
      <c r="E39" t="inlineStr">
        <is>
          <t>[0.012, 0.129]</t>
        </is>
      </c>
      <c r="F39">
        <f> 0.019</f>
        <v/>
      </c>
      <c r="G39" t="inlineStr">
        <is>
          <t>✓</t>
        </is>
      </c>
    </row>
    <row r="40">
      <c r="A40" t="inlineStr">
        <is>
          <t>R Caudalmiddlefrontal</t>
        </is>
      </c>
      <c r="B40" t="n">
        <v>0.165</v>
      </c>
      <c r="C40" t="n">
        <v>1104</v>
      </c>
      <c r="D40" t="inlineStr">
        <is>
          <t>&lt; .001</t>
        </is>
      </c>
      <c r="E40" t="inlineStr">
        <is>
          <t>[0.107, 0.222]</t>
        </is>
      </c>
      <c r="F40" t="inlineStr">
        <is>
          <t>&lt; .001</t>
        </is>
      </c>
      <c r="G40" t="inlineStr">
        <is>
          <t>✓</t>
        </is>
      </c>
    </row>
    <row r="41">
      <c r="A41" t="inlineStr">
        <is>
          <t>R Cuneus</t>
        </is>
      </c>
      <c r="B41" t="n">
        <v>0.188</v>
      </c>
      <c r="C41" t="n">
        <v>1104</v>
      </c>
      <c r="D41" t="inlineStr">
        <is>
          <t>&lt; .001</t>
        </is>
      </c>
      <c r="E41" t="inlineStr">
        <is>
          <t>[0.131, 0.245]</t>
        </is>
      </c>
      <c r="F41" t="inlineStr">
        <is>
          <t>&lt; .001</t>
        </is>
      </c>
      <c r="G41" t="inlineStr">
        <is>
          <t>✓</t>
        </is>
      </c>
    </row>
    <row r="42">
      <c r="A42" t="inlineStr">
        <is>
          <t>R Entorhinal</t>
        </is>
      </c>
      <c r="B42" t="n">
        <v>0.179</v>
      </c>
      <c r="C42" t="n">
        <v>1104</v>
      </c>
      <c r="D42" t="inlineStr">
        <is>
          <t>&lt; .001</t>
        </is>
      </c>
      <c r="E42" t="inlineStr">
        <is>
          <t>[0.121, 0.235]</t>
        </is>
      </c>
      <c r="F42" t="inlineStr">
        <is>
          <t>&lt; .001</t>
        </is>
      </c>
      <c r="G42" t="inlineStr">
        <is>
          <t>✓</t>
        </is>
      </c>
    </row>
    <row r="43">
      <c r="A43" t="inlineStr">
        <is>
          <t>R Fusiform</t>
        </is>
      </c>
      <c r="B43" t="n">
        <v>0.198</v>
      </c>
      <c r="C43" t="n">
        <v>1104</v>
      </c>
      <c r="D43" t="inlineStr">
        <is>
          <t>&lt; .001</t>
        </is>
      </c>
      <c r="E43" t="inlineStr">
        <is>
          <t>[0.141, 0.254]</t>
        </is>
      </c>
      <c r="F43" t="inlineStr">
        <is>
          <t>&lt; .001</t>
        </is>
      </c>
      <c r="G43" t="inlineStr">
        <is>
          <t>✓</t>
        </is>
      </c>
    </row>
    <row r="44">
      <c r="A44" t="inlineStr">
        <is>
          <t>R Inferiorparietal</t>
        </is>
      </c>
      <c r="B44" t="n">
        <v>0.218</v>
      </c>
      <c r="C44" t="n">
        <v>1104</v>
      </c>
      <c r="D44" t="inlineStr">
        <is>
          <t>&lt; .001</t>
        </is>
      </c>
      <c r="E44" t="inlineStr">
        <is>
          <t>[0.161, 0.273]</t>
        </is>
      </c>
      <c r="F44" t="inlineStr">
        <is>
          <t>&lt; .001</t>
        </is>
      </c>
      <c r="G44" t="inlineStr">
        <is>
          <t>✓</t>
        </is>
      </c>
    </row>
    <row r="45">
      <c r="A45" t="inlineStr">
        <is>
          <t>R Inferiortemporal</t>
        </is>
      </c>
      <c r="B45" t="n">
        <v>0.266</v>
      </c>
      <c r="C45" t="n">
        <v>1104</v>
      </c>
      <c r="D45" t="inlineStr">
        <is>
          <t>&lt; .001</t>
        </is>
      </c>
      <c r="E45" t="inlineStr">
        <is>
          <t>[0.210, 0.320]</t>
        </is>
      </c>
      <c r="F45" t="inlineStr">
        <is>
          <t>&lt; .001</t>
        </is>
      </c>
      <c r="G45" t="inlineStr">
        <is>
          <t>✓</t>
        </is>
      </c>
    </row>
    <row r="46">
      <c r="A46" t="inlineStr">
        <is>
          <t>R Isthmuscingulate</t>
        </is>
      </c>
      <c r="B46" t="n">
        <v>0.131</v>
      </c>
      <c r="C46" t="n">
        <v>1104</v>
      </c>
      <c r="D46" t="inlineStr">
        <is>
          <t>&lt; .001</t>
        </is>
      </c>
      <c r="E46" t="inlineStr">
        <is>
          <t>[0.072, 0.188]</t>
        </is>
      </c>
      <c r="F46" t="inlineStr">
        <is>
          <t>&lt; .001</t>
        </is>
      </c>
      <c r="G46" t="inlineStr">
        <is>
          <t>✓</t>
        </is>
      </c>
    </row>
    <row r="47">
      <c r="A47" t="inlineStr">
        <is>
          <t>R Lateraloccipital</t>
        </is>
      </c>
      <c r="B47" t="n">
        <v>0.2</v>
      </c>
      <c r="C47" t="n">
        <v>1104</v>
      </c>
      <c r="D47" t="inlineStr">
        <is>
          <t>&lt; .001</t>
        </is>
      </c>
      <c r="E47" t="inlineStr">
        <is>
          <t>[0.143, 0.256]</t>
        </is>
      </c>
      <c r="F47" t="inlineStr">
        <is>
          <t>&lt; .001</t>
        </is>
      </c>
      <c r="G47" t="inlineStr">
        <is>
          <t>✓</t>
        </is>
      </c>
    </row>
    <row r="48">
      <c r="A48" t="inlineStr">
        <is>
          <t>R Lateralorbitofrontal</t>
        </is>
      </c>
      <c r="B48" t="n">
        <v>0.211</v>
      </c>
      <c r="C48" t="n">
        <v>1104</v>
      </c>
      <c r="D48" t="inlineStr">
        <is>
          <t>&lt; .001</t>
        </is>
      </c>
      <c r="E48" t="inlineStr">
        <is>
          <t>[0.154, 0.267]</t>
        </is>
      </c>
      <c r="F48" t="inlineStr">
        <is>
          <t>&lt; .001</t>
        </is>
      </c>
      <c r="G48" t="inlineStr">
        <is>
          <t>✓</t>
        </is>
      </c>
    </row>
    <row r="49">
      <c r="A49" t="inlineStr">
        <is>
          <t>R Lingual</t>
        </is>
      </c>
      <c r="B49" t="n">
        <v>0.192</v>
      </c>
      <c r="C49" t="n">
        <v>1104</v>
      </c>
      <c r="D49" t="inlineStr">
        <is>
          <t>&lt; .001</t>
        </is>
      </c>
      <c r="E49" t="inlineStr">
        <is>
          <t>[0.135, 0.248]</t>
        </is>
      </c>
      <c r="F49" t="inlineStr">
        <is>
          <t>&lt; .001</t>
        </is>
      </c>
      <c r="G49" t="inlineStr">
        <is>
          <t>✓</t>
        </is>
      </c>
    </row>
    <row r="50">
      <c r="A50" t="inlineStr">
        <is>
          <t>R Medialorbitofrontal</t>
        </is>
      </c>
      <c r="B50" t="n">
        <v>0.184</v>
      </c>
      <c r="C50" t="n">
        <v>1104</v>
      </c>
      <c r="D50" t="inlineStr">
        <is>
          <t>&lt; .001</t>
        </is>
      </c>
      <c r="E50" t="inlineStr">
        <is>
          <t>[0.126, 0.240]</t>
        </is>
      </c>
      <c r="F50" t="inlineStr">
        <is>
          <t>&lt; .001</t>
        </is>
      </c>
      <c r="G50" t="inlineStr">
        <is>
          <t>✓</t>
        </is>
      </c>
    </row>
    <row r="51">
      <c r="A51" t="inlineStr">
        <is>
          <t>R Middletemporal</t>
        </is>
      </c>
      <c r="B51" t="n">
        <v>0.285</v>
      </c>
      <c r="C51" t="n">
        <v>1104</v>
      </c>
      <c r="D51" t="inlineStr">
        <is>
          <t>&lt; .001</t>
        </is>
      </c>
      <c r="E51" t="inlineStr">
        <is>
          <t>[0.230, 0.338]</t>
        </is>
      </c>
      <c r="F51" t="inlineStr">
        <is>
          <t>&lt; .001</t>
        </is>
      </c>
      <c r="G51" t="inlineStr">
        <is>
          <t>✓</t>
        </is>
      </c>
    </row>
    <row r="52">
      <c r="A52" t="inlineStr">
        <is>
          <t>R Parahippocampal</t>
        </is>
      </c>
      <c r="B52" t="n">
        <v>0.186</v>
      </c>
      <c r="C52" t="n">
        <v>1104</v>
      </c>
      <c r="D52" t="inlineStr">
        <is>
          <t>&lt; .001</t>
        </is>
      </c>
      <c r="E52" t="inlineStr">
        <is>
          <t>[0.129, 0.243]</t>
        </is>
      </c>
      <c r="F52" t="inlineStr">
        <is>
          <t>&lt; .001</t>
        </is>
      </c>
      <c r="G52" t="inlineStr">
        <is>
          <t>✓</t>
        </is>
      </c>
    </row>
    <row r="53">
      <c r="A53" t="inlineStr">
        <is>
          <t>R Paracentral</t>
        </is>
      </c>
      <c r="B53" t="n">
        <v>0.123</v>
      </c>
      <c r="C53" t="n">
        <v>1104</v>
      </c>
      <c r="D53" t="inlineStr">
        <is>
          <t>&lt; .001</t>
        </is>
      </c>
      <c r="E53" t="inlineStr">
        <is>
          <t>[0.065, 0.181]</t>
        </is>
      </c>
      <c r="F53" t="inlineStr">
        <is>
          <t>&lt; .001</t>
        </is>
      </c>
      <c r="G53" t="inlineStr">
        <is>
          <t>✓</t>
        </is>
      </c>
    </row>
    <row r="54">
      <c r="A54" t="inlineStr">
        <is>
          <t>R Parsopercularis</t>
        </is>
      </c>
      <c r="B54" t="n">
        <v>0.203</v>
      </c>
      <c r="C54" t="n">
        <v>1104</v>
      </c>
      <c r="D54" t="inlineStr">
        <is>
          <t>&lt; .001</t>
        </is>
      </c>
      <c r="E54" t="inlineStr">
        <is>
          <t>[0.145, 0.259]</t>
        </is>
      </c>
      <c r="F54" t="inlineStr">
        <is>
          <t>&lt; .001</t>
        </is>
      </c>
      <c r="G54" t="inlineStr">
        <is>
          <t>✓</t>
        </is>
      </c>
    </row>
    <row r="55">
      <c r="A55" t="inlineStr">
        <is>
          <t>R Parsorbitalis</t>
        </is>
      </c>
      <c r="B55" t="n">
        <v>0.185</v>
      </c>
      <c r="C55" t="n">
        <v>1104</v>
      </c>
      <c r="D55" t="inlineStr">
        <is>
          <t>&lt; .001</t>
        </is>
      </c>
      <c r="E55" t="inlineStr">
        <is>
          <t>[0.128, 0.242]</t>
        </is>
      </c>
      <c r="F55" t="inlineStr">
        <is>
          <t>&lt; .001</t>
        </is>
      </c>
      <c r="G55" t="inlineStr">
        <is>
          <t>✓</t>
        </is>
      </c>
    </row>
    <row r="56">
      <c r="A56" t="inlineStr">
        <is>
          <t>R Parstriangularis</t>
        </is>
      </c>
      <c r="B56" t="n">
        <v>0.113</v>
      </c>
      <c r="C56" t="n">
        <v>1104</v>
      </c>
      <c r="D56" t="inlineStr">
        <is>
          <t>&lt; .001</t>
        </is>
      </c>
      <c r="E56" t="inlineStr">
        <is>
          <t>[0.054, 0.171]</t>
        </is>
      </c>
      <c r="F56" t="inlineStr">
        <is>
          <t>&lt; .001</t>
        </is>
      </c>
      <c r="G56" t="inlineStr">
        <is>
          <t>✓</t>
        </is>
      </c>
    </row>
    <row r="57">
      <c r="A57" t="inlineStr">
        <is>
          <t>R Pericalcarine</t>
        </is>
      </c>
      <c r="B57" t="n">
        <v>0.122</v>
      </c>
      <c r="C57" t="n">
        <v>1104</v>
      </c>
      <c r="D57" t="inlineStr">
        <is>
          <t>&lt; .001</t>
        </is>
      </c>
      <c r="E57" t="inlineStr">
        <is>
          <t>[0.063, 0.179]</t>
        </is>
      </c>
      <c r="F57" t="inlineStr">
        <is>
          <t>&lt; .001</t>
        </is>
      </c>
      <c r="G57" t="inlineStr">
        <is>
          <t>✓</t>
        </is>
      </c>
    </row>
    <row r="58">
      <c r="A58" t="inlineStr">
        <is>
          <t>R Postcentral</t>
        </is>
      </c>
      <c r="B58" t="n">
        <v>0.238</v>
      </c>
      <c r="C58" t="n">
        <v>1104</v>
      </c>
      <c r="D58" t="inlineStr">
        <is>
          <t>&lt; .001</t>
        </is>
      </c>
      <c r="E58" t="inlineStr">
        <is>
          <t>[0.182, 0.293]</t>
        </is>
      </c>
      <c r="F58" t="inlineStr">
        <is>
          <t>&lt; .001</t>
        </is>
      </c>
      <c r="G58" t="inlineStr">
        <is>
          <t>✓</t>
        </is>
      </c>
    </row>
    <row r="59">
      <c r="A59" t="inlineStr">
        <is>
          <t>R Posteriorcingulate</t>
        </is>
      </c>
      <c r="B59" t="n">
        <v>0.175</v>
      </c>
      <c r="C59" t="n">
        <v>1104</v>
      </c>
      <c r="D59" t="inlineStr">
        <is>
          <t>&lt; .001</t>
        </is>
      </c>
      <c r="E59" t="inlineStr">
        <is>
          <t>[0.117, 0.231]</t>
        </is>
      </c>
      <c r="F59" t="inlineStr">
        <is>
          <t>&lt; .001</t>
        </is>
      </c>
      <c r="G59" t="inlineStr">
        <is>
          <t>✓</t>
        </is>
      </c>
    </row>
    <row r="60">
      <c r="A60" t="inlineStr">
        <is>
          <t>R Precentral</t>
        </is>
      </c>
      <c r="B60" t="n">
        <v>0.23</v>
      </c>
      <c r="C60" t="n">
        <v>1104</v>
      </c>
      <c r="D60" t="inlineStr">
        <is>
          <t>&lt; .001</t>
        </is>
      </c>
      <c r="E60" t="inlineStr">
        <is>
          <t>[0.174, 0.286]</t>
        </is>
      </c>
      <c r="F60" t="inlineStr">
        <is>
          <t>&lt; .001</t>
        </is>
      </c>
      <c r="G60" t="inlineStr">
        <is>
          <t>✓</t>
        </is>
      </c>
    </row>
    <row r="61">
      <c r="A61" t="inlineStr">
        <is>
          <t>R Precuneus</t>
        </is>
      </c>
      <c r="B61" t="n">
        <v>0.248</v>
      </c>
      <c r="C61" t="n">
        <v>1104</v>
      </c>
      <c r="D61" t="inlineStr">
        <is>
          <t>&lt; .001</t>
        </is>
      </c>
      <c r="E61" t="inlineStr">
        <is>
          <t>[0.192, 0.302]</t>
        </is>
      </c>
      <c r="F61" t="inlineStr">
        <is>
          <t>&lt; .001</t>
        </is>
      </c>
      <c r="G61" t="inlineStr">
        <is>
          <t>✓</t>
        </is>
      </c>
    </row>
    <row r="62">
      <c r="A62" t="inlineStr">
        <is>
          <t>R Rostralanteriorcingulate</t>
        </is>
      </c>
      <c r="B62" t="n">
        <v>0.166</v>
      </c>
      <c r="C62" t="n">
        <v>1104</v>
      </c>
      <c r="D62" t="inlineStr">
        <is>
          <t>&lt; .001</t>
        </is>
      </c>
      <c r="E62" t="inlineStr">
        <is>
          <t>[0.108, 0.223]</t>
        </is>
      </c>
      <c r="F62" t="inlineStr">
        <is>
          <t>&lt; .001</t>
        </is>
      </c>
      <c r="G62" t="inlineStr">
        <is>
          <t>✓</t>
        </is>
      </c>
    </row>
    <row r="63">
      <c r="A63" t="inlineStr">
        <is>
          <t>R Rostralmiddlefrontal</t>
        </is>
      </c>
      <c r="B63" t="n">
        <v>0.231</v>
      </c>
      <c r="C63" t="n">
        <v>1104</v>
      </c>
      <c r="D63" t="inlineStr">
        <is>
          <t>&lt; .001</t>
        </is>
      </c>
      <c r="E63" t="inlineStr">
        <is>
          <t>[0.174, 0.286]</t>
        </is>
      </c>
      <c r="F63" t="inlineStr">
        <is>
          <t>&lt; .001</t>
        </is>
      </c>
      <c r="G63" t="inlineStr">
        <is>
          <t>✓</t>
        </is>
      </c>
    </row>
    <row r="64">
      <c r="A64" t="inlineStr">
        <is>
          <t>R Superiorfrontal</t>
        </is>
      </c>
      <c r="B64" t="n">
        <v>0.242</v>
      </c>
      <c r="C64" t="n">
        <v>1104</v>
      </c>
      <c r="D64" t="inlineStr">
        <is>
          <t>&lt; .001</t>
        </is>
      </c>
      <c r="E64" t="inlineStr">
        <is>
          <t>[0.185, 0.296]</t>
        </is>
      </c>
      <c r="F64" t="inlineStr">
        <is>
          <t>&lt; .001</t>
        </is>
      </c>
      <c r="G64" t="inlineStr">
        <is>
          <t>✓</t>
        </is>
      </c>
    </row>
    <row r="65">
      <c r="A65" t="inlineStr">
        <is>
          <t>R Superiorparietal</t>
        </is>
      </c>
      <c r="B65" t="n">
        <v>0.232</v>
      </c>
      <c r="C65" t="n">
        <v>1104</v>
      </c>
      <c r="D65" t="inlineStr">
        <is>
          <t>&lt; .001</t>
        </is>
      </c>
      <c r="E65" t="inlineStr">
        <is>
          <t>[0.175, 0.287]</t>
        </is>
      </c>
      <c r="F65" t="inlineStr">
        <is>
          <t>&lt; .001</t>
        </is>
      </c>
      <c r="G65" t="inlineStr">
        <is>
          <t>✓</t>
        </is>
      </c>
    </row>
    <row r="66">
      <c r="A66" t="inlineStr">
        <is>
          <t>R Superiortemporal</t>
        </is>
      </c>
      <c r="B66" t="n">
        <v>0.212</v>
      </c>
      <c r="C66" t="n">
        <v>1104</v>
      </c>
      <c r="D66" t="inlineStr">
        <is>
          <t>&lt; .001</t>
        </is>
      </c>
      <c r="E66" t="inlineStr">
        <is>
          <t>[0.155, 0.268]</t>
        </is>
      </c>
      <c r="F66" t="inlineStr">
        <is>
          <t>&lt; .001</t>
        </is>
      </c>
      <c r="G66" t="inlineStr">
        <is>
          <t>✓</t>
        </is>
      </c>
    </row>
    <row r="67">
      <c r="A67" t="inlineStr">
        <is>
          <t>R Supramarginal</t>
        </is>
      </c>
      <c r="B67" t="n">
        <v>0.236</v>
      </c>
      <c r="C67" t="n">
        <v>1104</v>
      </c>
      <c r="D67" t="inlineStr">
        <is>
          <t>&lt; .001</t>
        </is>
      </c>
      <c r="E67" t="inlineStr">
        <is>
          <t>[0.180, 0.291]</t>
        </is>
      </c>
      <c r="F67" t="inlineStr">
        <is>
          <t>&lt; .001</t>
        </is>
      </c>
      <c r="G67" t="inlineStr">
        <is>
          <t>✓</t>
        </is>
      </c>
    </row>
    <row r="68">
      <c r="A68" t="inlineStr">
        <is>
          <t>R Frontalpole</t>
        </is>
      </c>
      <c r="B68" t="n">
        <v>0.17</v>
      </c>
      <c r="C68" t="n">
        <v>1104</v>
      </c>
      <c r="D68" t="inlineStr">
        <is>
          <t>&lt; .001</t>
        </is>
      </c>
      <c r="E68" t="inlineStr">
        <is>
          <t>[0.112, 0.227]</t>
        </is>
      </c>
      <c r="F68" t="inlineStr">
        <is>
          <t>&lt; .001</t>
        </is>
      </c>
      <c r="G68" t="inlineStr">
        <is>
          <t>✓</t>
        </is>
      </c>
    </row>
    <row r="69">
      <c r="A69" t="inlineStr">
        <is>
          <t>R Temporalpole</t>
        </is>
      </c>
      <c r="B69" t="n">
        <v>0.08500000000000001</v>
      </c>
      <c r="C69" t="n">
        <v>1104</v>
      </c>
      <c r="D69">
        <f> 0.005</f>
        <v/>
      </c>
      <c r="E69" t="inlineStr">
        <is>
          <t>[0.026, 0.143]</t>
        </is>
      </c>
      <c r="F69">
        <f> 0.005</f>
        <v/>
      </c>
      <c r="G69" t="inlineStr">
        <is>
          <t>✓</t>
        </is>
      </c>
    </row>
    <row r="70">
      <c r="A70" t="inlineStr">
        <is>
          <t>R Transversetemporal</t>
        </is>
      </c>
      <c r="B70" t="n">
        <v>0.149</v>
      </c>
      <c r="C70" t="n">
        <v>1104</v>
      </c>
      <c r="D70" t="inlineStr">
        <is>
          <t>&lt; .001</t>
        </is>
      </c>
      <c r="E70" t="inlineStr">
        <is>
          <t>[0.091, 0.207]</t>
        </is>
      </c>
      <c r="F70" t="inlineStr">
        <is>
          <t>&lt; .001</t>
        </is>
      </c>
      <c r="G70" t="inlineStr">
        <is>
          <t>✓</t>
        </is>
      </c>
    </row>
    <row r="71">
      <c r="A71" t="inlineStr">
        <is>
          <t>R Insula</t>
        </is>
      </c>
      <c r="B71" t="n">
        <v>0.19</v>
      </c>
      <c r="C71" t="n">
        <v>1104</v>
      </c>
      <c r="D71" t="inlineStr">
        <is>
          <t>&lt; .001</t>
        </is>
      </c>
      <c r="E71" t="inlineStr">
        <is>
          <t>[0.132, 0.246]</t>
        </is>
      </c>
      <c r="F71" t="inlineStr">
        <is>
          <t>&lt; .001</t>
        </is>
      </c>
      <c r="G71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Welch t-test (bottom vs. top NEOFAC_N tertile). FDR correction: Benjamini–Hochberg (q&lt;.05). Effect size: Cohen's d.</t>
        </is>
      </c>
    </row>
    <row r="3">
      <c r="A3" s="1" t="inlineStr">
        <is>
          <t>ROI</t>
        </is>
      </c>
      <c r="B3" s="1" t="inlineStr">
        <is>
          <t>t</t>
        </is>
      </c>
      <c r="C3" s="1" t="inlineStr">
        <is>
          <t>df</t>
        </is>
      </c>
      <c r="D3" s="1" t="inlineStr">
        <is>
          <t>p</t>
        </is>
      </c>
      <c r="E3" s="1" t="inlineStr">
        <is>
          <t>d</t>
        </is>
      </c>
      <c r="F3" s="1" t="inlineStr">
        <is>
          <t>95% CI [d]</t>
        </is>
      </c>
      <c r="G3" s="1" t="inlineStr">
        <is>
          <t>p_FDR</t>
        </is>
      </c>
      <c r="H3" s="1" t="inlineStr">
        <is>
          <t>FDR sig.</t>
        </is>
      </c>
    </row>
    <row r="4">
      <c r="A4" t="inlineStr">
        <is>
          <t>L Bankssts</t>
        </is>
      </c>
      <c r="B4" t="n">
        <v>0.9399999999999999</v>
      </c>
      <c r="C4" t="n">
        <v>786</v>
      </c>
      <c r="D4">
        <f> 0.346</f>
        <v/>
      </c>
      <c r="E4" t="n">
        <v>0.07000000000000001</v>
      </c>
      <c r="F4" t="inlineStr">
        <is>
          <t>[-0.07, 0.21]</t>
        </is>
      </c>
      <c r="G4">
        <f> 0.865</f>
        <v/>
      </c>
      <c r="H4" t="inlineStr"/>
    </row>
    <row r="5">
      <c r="A5" t="inlineStr">
        <is>
          <t>L Caudalanteriorcingulate</t>
        </is>
      </c>
      <c r="B5" t="n">
        <v>-0.73</v>
      </c>
      <c r="C5" t="n">
        <v>786</v>
      </c>
      <c r="D5">
        <f> 0.467</f>
        <v/>
      </c>
      <c r="E5" t="n">
        <v>-0.05</v>
      </c>
      <c r="F5" t="inlineStr">
        <is>
          <t>[-0.19, 0.09]</t>
        </is>
      </c>
      <c r="G5">
        <f> 0.865</f>
        <v/>
      </c>
      <c r="H5" t="inlineStr"/>
    </row>
    <row r="6">
      <c r="A6" t="inlineStr">
        <is>
          <t>L Caudalmiddlefrontal</t>
        </is>
      </c>
      <c r="B6" t="n">
        <v>2.94</v>
      </c>
      <c r="C6" t="n">
        <v>786</v>
      </c>
      <c r="D6">
        <f> 0.003</f>
        <v/>
      </c>
      <c r="E6" t="n">
        <v>0.21</v>
      </c>
      <c r="F6" t="inlineStr">
        <is>
          <t>[0.07, 0.35]</t>
        </is>
      </c>
      <c r="G6">
        <f> 0.144</f>
        <v/>
      </c>
      <c r="H6" t="inlineStr"/>
    </row>
    <row r="7">
      <c r="A7" t="inlineStr">
        <is>
          <t>L Cuneus</t>
        </is>
      </c>
      <c r="B7" t="n">
        <v>-0.67</v>
      </c>
      <c r="C7" t="n">
        <v>786</v>
      </c>
      <c r="D7">
        <f> 0.501</f>
        <v/>
      </c>
      <c r="E7" t="n">
        <v>-0.05</v>
      </c>
      <c r="F7" t="inlineStr">
        <is>
          <t>[-0.19, 0.09]</t>
        </is>
      </c>
      <c r="G7">
        <f> 0.865</f>
        <v/>
      </c>
      <c r="H7" t="inlineStr"/>
    </row>
    <row r="8">
      <c r="A8" t="inlineStr">
        <is>
          <t>L Entorhinal</t>
        </is>
      </c>
      <c r="B8" t="n">
        <v>0.67</v>
      </c>
      <c r="C8" t="n">
        <v>786</v>
      </c>
      <c r="D8">
        <f> 0.505</f>
        <v/>
      </c>
      <c r="E8" t="n">
        <v>0.05</v>
      </c>
      <c r="F8" t="inlineStr">
        <is>
          <t>[-0.09, 0.19]</t>
        </is>
      </c>
      <c r="G8">
        <f> 0.865</f>
        <v/>
      </c>
      <c r="H8" t="inlineStr"/>
    </row>
    <row r="9">
      <c r="A9" t="inlineStr">
        <is>
          <t>L Fusiform</t>
        </is>
      </c>
      <c r="B9" t="n">
        <v>0.28</v>
      </c>
      <c r="C9" t="n">
        <v>786</v>
      </c>
      <c r="D9">
        <f> 0.781</f>
        <v/>
      </c>
      <c r="E9" t="n">
        <v>0.02</v>
      </c>
      <c r="F9" t="inlineStr">
        <is>
          <t>[-0.12, 0.16]</t>
        </is>
      </c>
      <c r="G9">
        <f> 0.942</f>
        <v/>
      </c>
      <c r="H9" t="inlineStr"/>
    </row>
    <row r="10">
      <c r="A10" t="inlineStr">
        <is>
          <t>L Inferiorparietal</t>
        </is>
      </c>
      <c r="B10" t="n">
        <v>-0.4</v>
      </c>
      <c r="C10" t="n">
        <v>786</v>
      </c>
      <c r="D10">
        <f> 0.692</f>
        <v/>
      </c>
      <c r="E10" t="n">
        <v>-0.03</v>
      </c>
      <c r="F10" t="inlineStr">
        <is>
          <t>[-0.17, 0.11]</t>
        </is>
      </c>
      <c r="G10">
        <f> 0.915</f>
        <v/>
      </c>
      <c r="H10" t="inlineStr"/>
    </row>
    <row r="11">
      <c r="A11" t="inlineStr">
        <is>
          <t>L Inferiortemporal</t>
        </is>
      </c>
      <c r="B11" t="n">
        <v>0.72</v>
      </c>
      <c r="C11" t="n">
        <v>786</v>
      </c>
      <c r="D11">
        <f> 0.473</f>
        <v/>
      </c>
      <c r="E11" t="n">
        <v>0.05</v>
      </c>
      <c r="F11" t="inlineStr">
        <is>
          <t>[-0.09, 0.19]</t>
        </is>
      </c>
      <c r="G11">
        <f> 0.865</f>
        <v/>
      </c>
      <c r="H11" t="inlineStr"/>
    </row>
    <row r="12">
      <c r="A12" t="inlineStr">
        <is>
          <t>L Isthmuscingulate</t>
        </is>
      </c>
      <c r="B12" t="n">
        <v>1.77</v>
      </c>
      <c r="C12" t="n">
        <v>786</v>
      </c>
      <c r="D12">
        <f> 0.077</f>
        <v/>
      </c>
      <c r="E12" t="n">
        <v>0.13</v>
      </c>
      <c r="F12" t="inlineStr">
        <is>
          <t>[-0.01, 0.27]</t>
        </is>
      </c>
      <c r="G12">
        <f> 0.748</f>
        <v/>
      </c>
      <c r="H12" t="inlineStr"/>
    </row>
    <row r="13">
      <c r="A13" t="inlineStr">
        <is>
          <t>L Lateraloccipital</t>
        </is>
      </c>
      <c r="B13" t="n">
        <v>-1.32</v>
      </c>
      <c r="C13" t="n">
        <v>786</v>
      </c>
      <c r="D13">
        <f> 0.188</f>
        <v/>
      </c>
      <c r="E13" t="n">
        <v>-0.09</v>
      </c>
      <c r="F13" t="inlineStr">
        <is>
          <t>[-0.23, 0.05]</t>
        </is>
      </c>
      <c r="G13">
        <f> 0.865</f>
        <v/>
      </c>
      <c r="H13" t="inlineStr"/>
    </row>
    <row r="14">
      <c r="A14" t="inlineStr">
        <is>
          <t>L Lateralorbitofrontal</t>
        </is>
      </c>
      <c r="B14" t="n">
        <v>0.72</v>
      </c>
      <c r="C14" t="n">
        <v>786</v>
      </c>
      <c r="D14">
        <f> 0.473</f>
        <v/>
      </c>
      <c r="E14" t="n">
        <v>0.05</v>
      </c>
      <c r="F14" t="inlineStr">
        <is>
          <t>[-0.09, 0.19]</t>
        </is>
      </c>
      <c r="G14">
        <f> 0.865</f>
        <v/>
      </c>
      <c r="H14" t="inlineStr"/>
    </row>
    <row r="15">
      <c r="A15" t="inlineStr">
        <is>
          <t>L Lingual</t>
        </is>
      </c>
      <c r="B15" t="n">
        <v>-0.07000000000000001</v>
      </c>
      <c r="C15" t="n">
        <v>786</v>
      </c>
      <c r="D15">
        <f> 0.942</f>
        <v/>
      </c>
      <c r="E15" t="n">
        <v>-0.01</v>
      </c>
      <c r="F15" t="inlineStr">
        <is>
          <t>[-0.14, 0.13]</t>
        </is>
      </c>
      <c r="G15">
        <f> 0.942</f>
        <v/>
      </c>
      <c r="H15" t="inlineStr"/>
    </row>
    <row r="16">
      <c r="A16" t="inlineStr">
        <is>
          <t>L Medialorbitofrontal</t>
        </is>
      </c>
      <c r="B16" t="n">
        <v>0.76</v>
      </c>
      <c r="C16" t="n">
        <v>786</v>
      </c>
      <c r="D16">
        <f> 0.447</f>
        <v/>
      </c>
      <c r="E16" t="n">
        <v>0.05</v>
      </c>
      <c r="F16" t="inlineStr">
        <is>
          <t>[-0.09, 0.19]</t>
        </is>
      </c>
      <c r="G16">
        <f> 0.865</f>
        <v/>
      </c>
      <c r="H16" t="inlineStr"/>
    </row>
    <row r="17">
      <c r="A17" t="inlineStr">
        <is>
          <t>L Middletemporal</t>
        </is>
      </c>
      <c r="B17" t="n">
        <v>-0.12</v>
      </c>
      <c r="C17" t="n">
        <v>786</v>
      </c>
      <c r="D17">
        <f> 0.906</f>
        <v/>
      </c>
      <c r="E17" t="n">
        <v>-0.01</v>
      </c>
      <c r="F17" t="inlineStr">
        <is>
          <t>[-0.15, 0.13]</t>
        </is>
      </c>
      <c r="G17">
        <f> 0.942</f>
        <v/>
      </c>
      <c r="H17" t="inlineStr"/>
    </row>
    <row r="18">
      <c r="A18" t="inlineStr">
        <is>
          <t>L Parahippocampal</t>
        </is>
      </c>
      <c r="B18" t="n">
        <v>1.22</v>
      </c>
      <c r="C18" t="n">
        <v>786</v>
      </c>
      <c r="D18">
        <f> 0.223</f>
        <v/>
      </c>
      <c r="E18" t="n">
        <v>0.09</v>
      </c>
      <c r="F18" t="inlineStr">
        <is>
          <t>[-0.05, 0.23]</t>
        </is>
      </c>
      <c r="G18">
        <f> 0.865</f>
        <v/>
      </c>
      <c r="H18" t="inlineStr"/>
    </row>
    <row r="19">
      <c r="A19" t="inlineStr">
        <is>
          <t>L Paracentral</t>
        </is>
      </c>
      <c r="B19" t="n">
        <v>1.12</v>
      </c>
      <c r="C19" t="n">
        <v>786</v>
      </c>
      <c r="D19">
        <f> 0.264</f>
        <v/>
      </c>
      <c r="E19" t="n">
        <v>0.08</v>
      </c>
      <c r="F19" t="inlineStr">
        <is>
          <t>[-0.06, 0.22]</t>
        </is>
      </c>
      <c r="G19">
        <f> 0.865</f>
        <v/>
      </c>
      <c r="H19" t="inlineStr"/>
    </row>
    <row r="20">
      <c r="A20" t="inlineStr">
        <is>
          <t>L Parsopercularis</t>
        </is>
      </c>
      <c r="B20" t="n">
        <v>1.17</v>
      </c>
      <c r="C20" t="n">
        <v>786</v>
      </c>
      <c r="D20">
        <f> 0.243</f>
        <v/>
      </c>
      <c r="E20" t="n">
        <v>0.08</v>
      </c>
      <c r="F20" t="inlineStr">
        <is>
          <t>[-0.06, 0.22]</t>
        </is>
      </c>
      <c r="G20">
        <f> 0.865</f>
        <v/>
      </c>
      <c r="H20" t="inlineStr"/>
    </row>
    <row r="21">
      <c r="A21" t="inlineStr">
        <is>
          <t>L Parsorbitalis</t>
        </is>
      </c>
      <c r="B21" t="n">
        <v>2.71</v>
      </c>
      <c r="C21" t="n">
        <v>786</v>
      </c>
      <c r="D21">
        <f> 0.007</f>
        <v/>
      </c>
      <c r="E21" t="n">
        <v>0.19</v>
      </c>
      <c r="F21" t="inlineStr">
        <is>
          <t>[0.05, 0.33]</t>
        </is>
      </c>
      <c r="G21">
        <f> 0.155</f>
        <v/>
      </c>
      <c r="H21" t="inlineStr"/>
    </row>
    <row r="22">
      <c r="A22" t="inlineStr">
        <is>
          <t>L Parstriangularis</t>
        </is>
      </c>
      <c r="B22" t="n">
        <v>1.82</v>
      </c>
      <c r="C22" t="n">
        <v>786</v>
      </c>
      <c r="D22">
        <f> 0.069</f>
        <v/>
      </c>
      <c r="E22" t="n">
        <v>0.13</v>
      </c>
      <c r="F22" t="inlineStr">
        <is>
          <t>[-0.01, 0.27]</t>
        </is>
      </c>
      <c r="G22">
        <f> 0.748</f>
        <v/>
      </c>
      <c r="H22" t="inlineStr"/>
    </row>
    <row r="23">
      <c r="A23" t="inlineStr">
        <is>
          <t>L Pericalcarine</t>
        </is>
      </c>
      <c r="B23" t="n">
        <v>-0.76</v>
      </c>
      <c r="C23" t="n">
        <v>786</v>
      </c>
      <c r="D23">
        <f> 0.446</f>
        <v/>
      </c>
      <c r="E23" t="n">
        <v>-0.05</v>
      </c>
      <c r="F23" t="inlineStr">
        <is>
          <t>[-0.19, 0.09]</t>
        </is>
      </c>
      <c r="G23">
        <f> 0.865</f>
        <v/>
      </c>
      <c r="H23" t="inlineStr"/>
    </row>
    <row r="24">
      <c r="A24" t="inlineStr">
        <is>
          <t>L Postcentral</t>
        </is>
      </c>
      <c r="B24" t="n">
        <v>0.91</v>
      </c>
      <c r="C24" t="n">
        <v>786</v>
      </c>
      <c r="D24">
        <f> 0.363</f>
        <v/>
      </c>
      <c r="E24" t="n">
        <v>0.06</v>
      </c>
      <c r="F24" t="inlineStr">
        <is>
          <t>[-0.07, 0.20]</t>
        </is>
      </c>
      <c r="G24">
        <f> 0.865</f>
        <v/>
      </c>
      <c r="H24" t="inlineStr"/>
    </row>
    <row r="25">
      <c r="A25" t="inlineStr">
        <is>
          <t>L Posteriorcingulate</t>
        </is>
      </c>
      <c r="B25" t="n">
        <v>0.68</v>
      </c>
      <c r="C25" t="n">
        <v>786</v>
      </c>
      <c r="D25">
        <f> 0.496</f>
        <v/>
      </c>
      <c r="E25" t="n">
        <v>0.05</v>
      </c>
      <c r="F25" t="inlineStr">
        <is>
          <t>[-0.09, 0.19]</t>
        </is>
      </c>
      <c r="G25">
        <f> 0.865</f>
        <v/>
      </c>
      <c r="H25" t="inlineStr"/>
    </row>
    <row r="26">
      <c r="A26" t="inlineStr">
        <is>
          <t>L Precentral</t>
        </is>
      </c>
      <c r="B26" t="n">
        <v>1.4</v>
      </c>
      <c r="C26" t="n">
        <v>786</v>
      </c>
      <c r="D26">
        <f> 0.161</f>
        <v/>
      </c>
      <c r="E26" t="n">
        <v>0.1</v>
      </c>
      <c r="F26" t="inlineStr">
        <is>
          <t>[-0.04, 0.24]</t>
        </is>
      </c>
      <c r="G26">
        <f> 0.865</f>
        <v/>
      </c>
      <c r="H26" t="inlineStr"/>
    </row>
    <row r="27">
      <c r="A27" t="inlineStr">
        <is>
          <t>L Precuneus</t>
        </is>
      </c>
      <c r="B27" t="n">
        <v>-0.32</v>
      </c>
      <c r="C27" t="n">
        <v>786</v>
      </c>
      <c r="D27">
        <f> 0.752</f>
        <v/>
      </c>
      <c r="E27" t="n">
        <v>-0.02</v>
      </c>
      <c r="F27" t="inlineStr">
        <is>
          <t>[-0.16, 0.12]</t>
        </is>
      </c>
      <c r="G27">
        <f> 0.942</f>
        <v/>
      </c>
      <c r="H27" t="inlineStr"/>
    </row>
    <row r="28">
      <c r="A28" t="inlineStr">
        <is>
          <t>L Rostralanteriorcingulate</t>
        </is>
      </c>
      <c r="B28" t="n">
        <v>0.17</v>
      </c>
      <c r="C28" t="n">
        <v>786</v>
      </c>
      <c r="D28">
        <f> 0.869</f>
        <v/>
      </c>
      <c r="E28" t="n">
        <v>0.01</v>
      </c>
      <c r="F28" t="inlineStr">
        <is>
          <t>[-0.13, 0.15]</t>
        </is>
      </c>
      <c r="G28">
        <f> 0.942</f>
        <v/>
      </c>
      <c r="H28" t="inlineStr"/>
    </row>
    <row r="29">
      <c r="A29" t="inlineStr">
        <is>
          <t>L Rostralmiddlefrontal</t>
        </is>
      </c>
      <c r="B29" t="n">
        <v>2.04</v>
      </c>
      <c r="C29" t="n">
        <v>786</v>
      </c>
      <c r="D29">
        <f> 0.042</f>
        <v/>
      </c>
      <c r="E29" t="n">
        <v>0.15</v>
      </c>
      <c r="F29" t="inlineStr">
        <is>
          <t>[0.01, 0.29]</t>
        </is>
      </c>
      <c r="G29">
        <f> 0.571</f>
        <v/>
      </c>
      <c r="H29" t="inlineStr"/>
    </row>
    <row r="30">
      <c r="A30" t="inlineStr">
        <is>
          <t>L Superiorfrontal</t>
        </is>
      </c>
      <c r="B30" t="n">
        <v>2.87</v>
      </c>
      <c r="C30" t="n">
        <v>786</v>
      </c>
      <c r="D30">
        <f> 0.004</f>
        <v/>
      </c>
      <c r="E30" t="n">
        <v>0.2</v>
      </c>
      <c r="F30" t="inlineStr">
        <is>
          <t>[0.06, 0.34]</t>
        </is>
      </c>
      <c r="G30">
        <f> 0.144</f>
        <v/>
      </c>
      <c r="H30" t="inlineStr"/>
    </row>
    <row r="31">
      <c r="A31" t="inlineStr">
        <is>
          <t>L Superiorparietal</t>
        </is>
      </c>
      <c r="B31" t="n">
        <v>0.39</v>
      </c>
      <c r="C31" t="n">
        <v>786</v>
      </c>
      <c r="D31">
        <f> 0.700</f>
        <v/>
      </c>
      <c r="E31" t="n">
        <v>0.03</v>
      </c>
      <c r="F31" t="inlineStr">
        <is>
          <t>[-0.11, 0.17]</t>
        </is>
      </c>
      <c r="G31">
        <f> 0.915</f>
        <v/>
      </c>
      <c r="H31" t="inlineStr"/>
    </row>
    <row r="32">
      <c r="A32" t="inlineStr">
        <is>
          <t>L Superiortemporal</t>
        </is>
      </c>
      <c r="B32" t="n">
        <v>0.21</v>
      </c>
      <c r="C32" t="n">
        <v>786</v>
      </c>
      <c r="D32">
        <f> 0.833</f>
        <v/>
      </c>
      <c r="E32" t="n">
        <v>0.02</v>
      </c>
      <c r="F32" t="inlineStr">
        <is>
          <t>[-0.12, 0.15]</t>
        </is>
      </c>
      <c r="G32">
        <f> 0.942</f>
        <v/>
      </c>
      <c r="H32" t="inlineStr"/>
    </row>
    <row r="33">
      <c r="A33" t="inlineStr">
        <is>
          <t>L Supramarginal</t>
        </is>
      </c>
      <c r="B33" t="n">
        <v>1.03</v>
      </c>
      <c r="C33" t="n">
        <v>786</v>
      </c>
      <c r="D33">
        <f> 0.304</f>
        <v/>
      </c>
      <c r="E33" t="n">
        <v>0.07000000000000001</v>
      </c>
      <c r="F33" t="inlineStr">
        <is>
          <t>[-0.07, 0.21]</t>
        </is>
      </c>
      <c r="G33">
        <f> 0.865</f>
        <v/>
      </c>
      <c r="H33" t="inlineStr"/>
    </row>
    <row r="34">
      <c r="A34" t="inlineStr">
        <is>
          <t>L Frontalpole</t>
        </is>
      </c>
      <c r="B34" t="n">
        <v>1.16</v>
      </c>
      <c r="C34" t="n">
        <v>786</v>
      </c>
      <c r="D34">
        <f> 0.245</f>
        <v/>
      </c>
      <c r="E34" t="n">
        <v>0.08</v>
      </c>
      <c r="F34" t="inlineStr">
        <is>
          <t>[-0.06, 0.22]</t>
        </is>
      </c>
      <c r="G34">
        <f> 0.865</f>
        <v/>
      </c>
      <c r="H34" t="inlineStr"/>
    </row>
    <row r="35">
      <c r="A35" t="inlineStr">
        <is>
          <t>L Temporalpole</t>
        </is>
      </c>
      <c r="B35" t="n">
        <v>0.8100000000000001</v>
      </c>
      <c r="C35" t="n">
        <v>786</v>
      </c>
      <c r="D35">
        <f> 0.419</f>
        <v/>
      </c>
      <c r="E35" t="n">
        <v>0.06</v>
      </c>
      <c r="F35" t="inlineStr">
        <is>
          <t>[-0.08, 0.20]</t>
        </is>
      </c>
      <c r="G35">
        <f> 0.865</f>
        <v/>
      </c>
      <c r="H35" t="inlineStr"/>
    </row>
    <row r="36">
      <c r="A36" t="inlineStr">
        <is>
          <t>L Transversetemporal</t>
        </is>
      </c>
      <c r="B36" t="n">
        <v>-1.11</v>
      </c>
      <c r="C36" t="n">
        <v>786</v>
      </c>
      <c r="D36">
        <f> 0.269</f>
        <v/>
      </c>
      <c r="E36" t="n">
        <v>-0.08</v>
      </c>
      <c r="F36" t="inlineStr">
        <is>
          <t>[-0.22, 0.06]</t>
        </is>
      </c>
      <c r="G36">
        <f> 0.865</f>
        <v/>
      </c>
      <c r="H36" t="inlineStr"/>
    </row>
    <row r="37">
      <c r="A37" t="inlineStr">
        <is>
          <t>L Insula</t>
        </is>
      </c>
      <c r="B37" t="n">
        <v>-0.09</v>
      </c>
      <c r="C37" t="n">
        <v>786</v>
      </c>
      <c r="D37">
        <f> 0.926</f>
        <v/>
      </c>
      <c r="E37" t="n">
        <v>-0.01</v>
      </c>
      <c r="F37" t="inlineStr">
        <is>
          <t>[-0.15, 0.13]</t>
        </is>
      </c>
      <c r="G37">
        <f> 0.942</f>
        <v/>
      </c>
      <c r="H37" t="inlineStr"/>
    </row>
    <row r="38">
      <c r="A38" t="inlineStr">
        <is>
          <t>R Bankssts</t>
        </is>
      </c>
      <c r="B38" t="n">
        <v>-0.62</v>
      </c>
      <c r="C38" t="n">
        <v>786</v>
      </c>
      <c r="D38">
        <f> 0.534</f>
        <v/>
      </c>
      <c r="E38" t="n">
        <v>-0.04</v>
      </c>
      <c r="F38" t="inlineStr">
        <is>
          <t>[-0.18, 0.10]</t>
        </is>
      </c>
      <c r="G38">
        <f> 0.865</f>
        <v/>
      </c>
      <c r="H38" t="inlineStr"/>
    </row>
    <row r="39">
      <c r="A39" t="inlineStr">
        <is>
          <t>R Caudalanteriorcingulate</t>
        </is>
      </c>
      <c r="B39" t="n">
        <v>1.35</v>
      </c>
      <c r="C39" t="n">
        <v>786</v>
      </c>
      <c r="D39">
        <f> 0.176</f>
        <v/>
      </c>
      <c r="E39" t="n">
        <v>0.1</v>
      </c>
      <c r="F39" t="inlineStr">
        <is>
          <t>[-0.04, 0.24]</t>
        </is>
      </c>
      <c r="G39">
        <f> 0.865</f>
        <v/>
      </c>
      <c r="H39" t="inlineStr"/>
    </row>
    <row r="40">
      <c r="A40" t="inlineStr">
        <is>
          <t>R Caudalmiddlefrontal</t>
        </is>
      </c>
      <c r="B40" t="n">
        <v>1.7</v>
      </c>
      <c r="C40" t="n">
        <v>786</v>
      </c>
      <c r="D40">
        <f> 0.089</f>
        <v/>
      </c>
      <c r="E40" t="n">
        <v>0.12</v>
      </c>
      <c r="F40" t="inlineStr">
        <is>
          <t>[-0.02, 0.26]</t>
        </is>
      </c>
      <c r="G40">
        <f> 0.755</f>
        <v/>
      </c>
      <c r="H40" t="inlineStr"/>
    </row>
    <row r="41">
      <c r="A41" t="inlineStr">
        <is>
          <t>R Cuneus</t>
        </is>
      </c>
      <c r="B41" t="n">
        <v>0.2</v>
      </c>
      <c r="C41" t="n">
        <v>786</v>
      </c>
      <c r="D41">
        <f> 0.839</f>
        <v/>
      </c>
      <c r="E41" t="n">
        <v>0.01</v>
      </c>
      <c r="F41" t="inlineStr">
        <is>
          <t>[-0.13, 0.15]</t>
        </is>
      </c>
      <c r="G41">
        <f> 0.942</f>
        <v/>
      </c>
      <c r="H41" t="inlineStr"/>
    </row>
    <row r="42">
      <c r="A42" t="inlineStr">
        <is>
          <t>R Entorhinal</t>
        </is>
      </c>
      <c r="B42" t="n">
        <v>-0.76</v>
      </c>
      <c r="C42" t="n">
        <v>786</v>
      </c>
      <c r="D42">
        <f> 0.450</f>
        <v/>
      </c>
      <c r="E42" t="n">
        <v>-0.05</v>
      </c>
      <c r="F42" t="inlineStr">
        <is>
          <t>[-0.19, 0.09]</t>
        </is>
      </c>
      <c r="G42">
        <f> 0.865</f>
        <v/>
      </c>
      <c r="H42" t="inlineStr"/>
    </row>
    <row r="43">
      <c r="A43" t="inlineStr">
        <is>
          <t>R Fusiform</t>
        </is>
      </c>
      <c r="B43" t="n">
        <v>0.09</v>
      </c>
      <c r="C43" t="n">
        <v>786</v>
      </c>
      <c r="D43">
        <f> 0.931</f>
        <v/>
      </c>
      <c r="E43" t="n">
        <v>0.01</v>
      </c>
      <c r="F43" t="inlineStr">
        <is>
          <t>[-0.13, 0.15]</t>
        </is>
      </c>
      <c r="G43">
        <f> 0.942</f>
        <v/>
      </c>
      <c r="H43" t="inlineStr"/>
    </row>
    <row r="44">
      <c r="A44" t="inlineStr">
        <is>
          <t>R Inferiorparietal</t>
        </is>
      </c>
      <c r="B44" t="n">
        <v>-0.64</v>
      </c>
      <c r="C44" t="n">
        <v>786</v>
      </c>
      <c r="D44">
        <f> 0.524</f>
        <v/>
      </c>
      <c r="E44" t="n">
        <v>-0.05</v>
      </c>
      <c r="F44" t="inlineStr">
        <is>
          <t>[-0.19, 0.09]</t>
        </is>
      </c>
      <c r="G44">
        <f> 0.865</f>
        <v/>
      </c>
      <c r="H44" t="inlineStr"/>
    </row>
    <row r="45">
      <c r="A45" t="inlineStr">
        <is>
          <t>R Inferiortemporal</t>
        </is>
      </c>
      <c r="B45" t="n">
        <v>-0.58</v>
      </c>
      <c r="C45" t="n">
        <v>786</v>
      </c>
      <c r="D45">
        <f> 0.560</f>
        <v/>
      </c>
      <c r="E45" t="n">
        <v>-0.04</v>
      </c>
      <c r="F45" t="inlineStr">
        <is>
          <t>[-0.18, 0.10]</t>
        </is>
      </c>
      <c r="G45">
        <f> 0.885</f>
        <v/>
      </c>
      <c r="H45" t="inlineStr"/>
    </row>
    <row r="46">
      <c r="A46" t="inlineStr">
        <is>
          <t>R Isthmuscingulate</t>
        </is>
      </c>
      <c r="B46" t="n">
        <v>0.21</v>
      </c>
      <c r="C46" t="n">
        <v>786</v>
      </c>
      <c r="D46">
        <f> 0.830</f>
        <v/>
      </c>
      <c r="E46" t="n">
        <v>0.02</v>
      </c>
      <c r="F46" t="inlineStr">
        <is>
          <t>[-0.12, 0.16]</t>
        </is>
      </c>
      <c r="G46">
        <f> 0.942</f>
        <v/>
      </c>
      <c r="H46" t="inlineStr"/>
    </row>
    <row r="47">
      <c r="A47" t="inlineStr">
        <is>
          <t>R Lateraloccipital</t>
        </is>
      </c>
      <c r="B47" t="n">
        <v>-0.8100000000000001</v>
      </c>
      <c r="C47" t="n">
        <v>786</v>
      </c>
      <c r="D47">
        <f> 0.415</f>
        <v/>
      </c>
      <c r="E47" t="n">
        <v>-0.06</v>
      </c>
      <c r="F47" t="inlineStr">
        <is>
          <t>[-0.20, 0.08]</t>
        </is>
      </c>
      <c r="G47">
        <f> 0.865</f>
        <v/>
      </c>
      <c r="H47" t="inlineStr"/>
    </row>
    <row r="48">
      <c r="A48" t="inlineStr">
        <is>
          <t>R Lateralorbitofrontal</t>
        </is>
      </c>
      <c r="B48" t="n">
        <v>-1.28</v>
      </c>
      <c r="C48" t="n">
        <v>786</v>
      </c>
      <c r="D48">
        <f> 0.200</f>
        <v/>
      </c>
      <c r="E48" t="n">
        <v>-0.09</v>
      </c>
      <c r="F48" t="inlineStr">
        <is>
          <t>[-0.23, 0.05]</t>
        </is>
      </c>
      <c r="G48">
        <f> 0.865</f>
        <v/>
      </c>
      <c r="H48" t="inlineStr"/>
    </row>
    <row r="49">
      <c r="A49" t="inlineStr">
        <is>
          <t>R Lingual</t>
        </is>
      </c>
      <c r="B49" t="n">
        <v>1.04</v>
      </c>
      <c r="C49" t="n">
        <v>786</v>
      </c>
      <c r="D49">
        <f> 0.299</f>
        <v/>
      </c>
      <c r="E49" t="n">
        <v>0.07000000000000001</v>
      </c>
      <c r="F49" t="inlineStr">
        <is>
          <t>[-0.07, 0.21]</t>
        </is>
      </c>
      <c r="G49">
        <f> 0.865</f>
        <v/>
      </c>
      <c r="H49" t="inlineStr"/>
    </row>
    <row r="50">
      <c r="A50" t="inlineStr">
        <is>
          <t>R Medialorbitofrontal</t>
        </is>
      </c>
      <c r="B50" t="n">
        <v>-0.53</v>
      </c>
      <c r="C50" t="n">
        <v>786</v>
      </c>
      <c r="D50">
        <f> 0.597</f>
        <v/>
      </c>
      <c r="E50" t="n">
        <v>-0.04</v>
      </c>
      <c r="F50" t="inlineStr">
        <is>
          <t>[-0.18, 0.10]</t>
        </is>
      </c>
      <c r="G50">
        <f> 0.915</f>
        <v/>
      </c>
      <c r="H50" t="inlineStr"/>
    </row>
    <row r="51">
      <c r="A51" t="inlineStr">
        <is>
          <t>R Middletemporal</t>
        </is>
      </c>
      <c r="B51" t="n">
        <v>0.43</v>
      </c>
      <c r="C51" t="n">
        <v>786</v>
      </c>
      <c r="D51">
        <f> 0.670</f>
        <v/>
      </c>
      <c r="E51" t="n">
        <v>0.03</v>
      </c>
      <c r="F51" t="inlineStr">
        <is>
          <t>[-0.11, 0.17]</t>
        </is>
      </c>
      <c r="G51">
        <f> 0.915</f>
        <v/>
      </c>
      <c r="H51" t="inlineStr"/>
    </row>
    <row r="52">
      <c r="A52" t="inlineStr">
        <is>
          <t>R Parahippocampal</t>
        </is>
      </c>
      <c r="B52" t="n">
        <v>0.41</v>
      </c>
      <c r="C52" t="n">
        <v>786</v>
      </c>
      <c r="D52">
        <f> 0.684</f>
        <v/>
      </c>
      <c r="E52" t="n">
        <v>0.03</v>
      </c>
      <c r="F52" t="inlineStr">
        <is>
          <t>[-0.11, 0.17]</t>
        </is>
      </c>
      <c r="G52">
        <f> 0.915</f>
        <v/>
      </c>
      <c r="H52" t="inlineStr"/>
    </row>
    <row r="53">
      <c r="A53" t="inlineStr">
        <is>
          <t>R Paracentral</t>
        </is>
      </c>
      <c r="B53" t="n">
        <v>0.11</v>
      </c>
      <c r="C53" t="n">
        <v>786</v>
      </c>
      <c r="D53">
        <f> 0.909</f>
        <v/>
      </c>
      <c r="E53" t="n">
        <v>0.01</v>
      </c>
      <c r="F53" t="inlineStr">
        <is>
          <t>[-0.13, 0.15]</t>
        </is>
      </c>
      <c r="G53">
        <f> 0.942</f>
        <v/>
      </c>
      <c r="H53" t="inlineStr"/>
    </row>
    <row r="54">
      <c r="A54" t="inlineStr">
        <is>
          <t>R Parsopercularis</t>
        </is>
      </c>
      <c r="B54" t="n">
        <v>1.08</v>
      </c>
      <c r="C54" t="n">
        <v>786</v>
      </c>
      <c r="D54">
        <f> 0.282</f>
        <v/>
      </c>
      <c r="E54" t="n">
        <v>0.08</v>
      </c>
      <c r="F54" t="inlineStr">
        <is>
          <t>[-0.06, 0.22]</t>
        </is>
      </c>
      <c r="G54">
        <f> 0.865</f>
        <v/>
      </c>
      <c r="H54" t="inlineStr"/>
    </row>
    <row r="55">
      <c r="A55" t="inlineStr">
        <is>
          <t>R Parsorbitalis</t>
        </is>
      </c>
      <c r="B55" t="n">
        <v>-0.47</v>
      </c>
      <c r="C55" t="n">
        <v>786</v>
      </c>
      <c r="D55">
        <f> 0.641</f>
        <v/>
      </c>
      <c r="E55" t="n">
        <v>-0.03</v>
      </c>
      <c r="F55" t="inlineStr">
        <is>
          <t>[-0.17, 0.11]</t>
        </is>
      </c>
      <c r="G55">
        <f> 0.915</f>
        <v/>
      </c>
      <c r="H55" t="inlineStr"/>
    </row>
    <row r="56">
      <c r="A56" t="inlineStr">
        <is>
          <t>R Parstriangularis</t>
        </is>
      </c>
      <c r="B56" t="n">
        <v>1.39</v>
      </c>
      <c r="C56" t="n">
        <v>786</v>
      </c>
      <c r="D56">
        <f> 0.166</f>
        <v/>
      </c>
      <c r="E56" t="n">
        <v>0.1</v>
      </c>
      <c r="F56" t="inlineStr">
        <is>
          <t>[-0.04, 0.24]</t>
        </is>
      </c>
      <c r="G56">
        <f> 0.865</f>
        <v/>
      </c>
      <c r="H56" t="inlineStr"/>
    </row>
    <row r="57">
      <c r="A57" t="inlineStr">
        <is>
          <t>R Pericalcarine</t>
        </is>
      </c>
      <c r="B57" t="n">
        <v>0.24</v>
      </c>
      <c r="C57" t="n">
        <v>786</v>
      </c>
      <c r="D57">
        <f> 0.812</f>
        <v/>
      </c>
      <c r="E57" t="n">
        <v>0.02</v>
      </c>
      <c r="F57" t="inlineStr">
        <is>
          <t>[-0.12, 0.16]</t>
        </is>
      </c>
      <c r="G57">
        <f> 0.942</f>
        <v/>
      </c>
      <c r="H57" t="inlineStr"/>
    </row>
    <row r="58">
      <c r="A58" t="inlineStr">
        <is>
          <t>R Postcentral</t>
        </is>
      </c>
      <c r="B58" t="n">
        <v>0.49</v>
      </c>
      <c r="C58" t="n">
        <v>786</v>
      </c>
      <c r="D58">
        <f> 0.621</f>
        <v/>
      </c>
      <c r="E58" t="n">
        <v>0.04</v>
      </c>
      <c r="F58" t="inlineStr">
        <is>
          <t>[-0.10, 0.17]</t>
        </is>
      </c>
      <c r="G58">
        <f> 0.915</f>
        <v/>
      </c>
      <c r="H58" t="inlineStr"/>
    </row>
    <row r="59">
      <c r="A59" t="inlineStr">
        <is>
          <t>R Posteriorcingulate</t>
        </is>
      </c>
      <c r="B59" t="n">
        <v>-0.11</v>
      </c>
      <c r="C59" t="n">
        <v>786</v>
      </c>
      <c r="D59">
        <f> 0.915</f>
        <v/>
      </c>
      <c r="E59" t="n">
        <v>-0.01</v>
      </c>
      <c r="F59" t="inlineStr">
        <is>
          <t>[-0.15, 0.13]</t>
        </is>
      </c>
      <c r="G59">
        <f> 0.942</f>
        <v/>
      </c>
      <c r="H59" t="inlineStr"/>
    </row>
    <row r="60">
      <c r="A60" t="inlineStr">
        <is>
          <t>R Precentral</t>
        </is>
      </c>
      <c r="B60" t="n">
        <v>1.19</v>
      </c>
      <c r="C60" t="n">
        <v>786</v>
      </c>
      <c r="D60">
        <f> 0.234</f>
        <v/>
      </c>
      <c r="E60" t="n">
        <v>0.08</v>
      </c>
      <c r="F60" t="inlineStr">
        <is>
          <t>[-0.06, 0.22]</t>
        </is>
      </c>
      <c r="G60">
        <f> 0.865</f>
        <v/>
      </c>
      <c r="H60" t="inlineStr"/>
    </row>
    <row r="61">
      <c r="A61" t="inlineStr">
        <is>
          <t>R Precuneus</t>
        </is>
      </c>
      <c r="B61" t="n">
        <v>-0.91</v>
      </c>
      <c r="C61" t="n">
        <v>786</v>
      </c>
      <c r="D61">
        <f> 0.362</f>
        <v/>
      </c>
      <c r="E61" t="n">
        <v>-0.06</v>
      </c>
      <c r="F61" t="inlineStr">
        <is>
          <t>[-0.20, 0.07]</t>
        </is>
      </c>
      <c r="G61">
        <f> 0.865</f>
        <v/>
      </c>
      <c r="H61" t="inlineStr"/>
    </row>
    <row r="62">
      <c r="A62" t="inlineStr">
        <is>
          <t>R Rostralanteriorcingulate</t>
        </is>
      </c>
      <c r="B62" t="n">
        <v>-0.39</v>
      </c>
      <c r="C62" t="n">
        <v>786</v>
      </c>
      <c r="D62">
        <f> 0.698</f>
        <v/>
      </c>
      <c r="E62" t="n">
        <v>-0.03</v>
      </c>
      <c r="F62" t="inlineStr">
        <is>
          <t>[-0.17, 0.11]</t>
        </is>
      </c>
      <c r="G62">
        <f> 0.915</f>
        <v/>
      </c>
      <c r="H62" t="inlineStr"/>
    </row>
    <row r="63">
      <c r="A63" t="inlineStr">
        <is>
          <t>R Rostralmiddlefrontal</t>
        </is>
      </c>
      <c r="B63" t="n">
        <v>1.01</v>
      </c>
      <c r="C63" t="n">
        <v>786</v>
      </c>
      <c r="D63">
        <f> 0.312</f>
        <v/>
      </c>
      <c r="E63" t="n">
        <v>0.07000000000000001</v>
      </c>
      <c r="F63" t="inlineStr">
        <is>
          <t>[-0.07, 0.21]</t>
        </is>
      </c>
      <c r="G63">
        <f> 0.865</f>
        <v/>
      </c>
      <c r="H63" t="inlineStr"/>
    </row>
    <row r="64">
      <c r="A64" t="inlineStr">
        <is>
          <t>R Superiorfrontal</t>
        </is>
      </c>
      <c r="B64" t="n">
        <v>2.22</v>
      </c>
      <c r="C64" t="n">
        <v>786</v>
      </c>
      <c r="D64">
        <f> 0.026</f>
        <v/>
      </c>
      <c r="E64" t="n">
        <v>0.16</v>
      </c>
      <c r="F64" t="inlineStr">
        <is>
          <t>[0.02, 0.30]</t>
        </is>
      </c>
      <c r="G64">
        <f> 0.450</f>
        <v/>
      </c>
      <c r="H64" t="inlineStr"/>
    </row>
    <row r="65">
      <c r="A65" t="inlineStr">
        <is>
          <t>R Superiorparietal</t>
        </is>
      </c>
      <c r="B65" t="n">
        <v>-0.12</v>
      </c>
      <c r="C65" t="n">
        <v>786</v>
      </c>
      <c r="D65">
        <f> 0.908</f>
        <v/>
      </c>
      <c r="E65" t="n">
        <v>-0.01</v>
      </c>
      <c r="F65" t="inlineStr">
        <is>
          <t>[-0.15, 0.13]</t>
        </is>
      </c>
      <c r="G65">
        <f> 0.942</f>
        <v/>
      </c>
      <c r="H65" t="inlineStr"/>
    </row>
    <row r="66">
      <c r="A66" t="inlineStr">
        <is>
          <t>R Superiortemporal</t>
        </is>
      </c>
      <c r="B66" t="n">
        <v>0.12</v>
      </c>
      <c r="C66" t="n">
        <v>786</v>
      </c>
      <c r="D66">
        <f> 0.908</f>
        <v/>
      </c>
      <c r="E66" t="n">
        <v>0.01</v>
      </c>
      <c r="F66" t="inlineStr">
        <is>
          <t>[-0.13, 0.15]</t>
        </is>
      </c>
      <c r="G66">
        <f> 0.942</f>
        <v/>
      </c>
      <c r="H66" t="inlineStr"/>
    </row>
    <row r="67">
      <c r="A67" t="inlineStr">
        <is>
          <t>R Supramarginal</t>
        </is>
      </c>
      <c r="B67" t="n">
        <v>0.63</v>
      </c>
      <c r="C67" t="n">
        <v>786</v>
      </c>
      <c r="D67">
        <f> 0.527</f>
        <v/>
      </c>
      <c r="E67" t="n">
        <v>0.04</v>
      </c>
      <c r="F67" t="inlineStr">
        <is>
          <t>[-0.09, 0.18]</t>
        </is>
      </c>
      <c r="G67">
        <f> 0.865</f>
        <v/>
      </c>
      <c r="H67" t="inlineStr"/>
    </row>
    <row r="68">
      <c r="A68" t="inlineStr">
        <is>
          <t>R Frontalpole</t>
        </is>
      </c>
      <c r="B68" t="n">
        <v>1.28</v>
      </c>
      <c r="C68" t="n">
        <v>786</v>
      </c>
      <c r="D68">
        <f> 0.200</f>
        <v/>
      </c>
      <c r="E68" t="n">
        <v>0.09</v>
      </c>
      <c r="F68" t="inlineStr">
        <is>
          <t>[-0.05, 0.23]</t>
        </is>
      </c>
      <c r="G68">
        <f> 0.865</f>
        <v/>
      </c>
      <c r="H68" t="inlineStr"/>
    </row>
    <row r="69">
      <c r="A69" t="inlineStr">
        <is>
          <t>R Temporalpole</t>
        </is>
      </c>
      <c r="B69" t="n">
        <v>0.46</v>
      </c>
      <c r="C69" t="n">
        <v>786</v>
      </c>
      <c r="D69">
        <f> 0.647</f>
        <v/>
      </c>
      <c r="E69" t="n">
        <v>0.03</v>
      </c>
      <c r="F69" t="inlineStr">
        <is>
          <t>[-0.11, 0.17]</t>
        </is>
      </c>
      <c r="G69">
        <f> 0.915</f>
        <v/>
      </c>
      <c r="H69" t="inlineStr"/>
    </row>
    <row r="70">
      <c r="A70" t="inlineStr">
        <is>
          <t>R Transversetemporal</t>
        </is>
      </c>
      <c r="B70" t="n">
        <v>0.28</v>
      </c>
      <c r="C70" t="n">
        <v>786</v>
      </c>
      <c r="D70">
        <f> 0.780</f>
        <v/>
      </c>
      <c r="E70" t="n">
        <v>0.02</v>
      </c>
      <c r="F70" t="inlineStr">
        <is>
          <t>[-0.12, 0.16]</t>
        </is>
      </c>
      <c r="G70">
        <f> 0.942</f>
        <v/>
      </c>
      <c r="H70" t="inlineStr"/>
    </row>
    <row r="71">
      <c r="A71" t="inlineStr">
        <is>
          <t>R Insula</t>
        </is>
      </c>
      <c r="B71" t="n">
        <v>-0.7</v>
      </c>
      <c r="C71" t="n">
        <v>786</v>
      </c>
      <c r="D71">
        <f> 0.482</f>
        <v/>
      </c>
      <c r="E71" t="n">
        <v>-0.05</v>
      </c>
      <c r="F71" t="inlineStr">
        <is>
          <t>[-0.19, 0.09]</t>
        </is>
      </c>
      <c r="G71">
        <f> 0.865</f>
        <v/>
      </c>
      <c r="H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Welch t-test (bottom vs. top NEOFAC_N tertile). FDR correction: Benjamini–Hochberg (q&lt;.05). Effect size: Cohen's d.</t>
        </is>
      </c>
    </row>
    <row r="3">
      <c r="A3" s="1" t="inlineStr">
        <is>
          <t>ROI</t>
        </is>
      </c>
      <c r="B3" s="1" t="inlineStr">
        <is>
          <t>t</t>
        </is>
      </c>
      <c r="C3" s="1" t="inlineStr">
        <is>
          <t>df</t>
        </is>
      </c>
      <c r="D3" s="1" t="inlineStr">
        <is>
          <t>p</t>
        </is>
      </c>
      <c r="E3" s="1" t="inlineStr">
        <is>
          <t>d</t>
        </is>
      </c>
      <c r="F3" s="1" t="inlineStr">
        <is>
          <t>95% CI [d]</t>
        </is>
      </c>
      <c r="G3" s="1" t="inlineStr">
        <is>
          <t>p_FDR</t>
        </is>
      </c>
      <c r="H3" s="1" t="inlineStr">
        <is>
          <t>FDR sig.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t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95% CI [d]</t>
        </is>
      </c>
      <c r="G1" s="1" t="inlineStr">
        <is>
          <t>p_FDR</t>
        </is>
      </c>
      <c r="H1" s="1" t="inlineStr">
        <is>
          <t>FDR sig.</t>
        </is>
      </c>
    </row>
    <row r="2">
      <c r="A2" t="inlineStr">
        <is>
          <t>L Bankssts</t>
        </is>
      </c>
      <c r="B2" t="n">
        <v>-1.28</v>
      </c>
      <c r="C2" t="n">
        <v>786</v>
      </c>
      <c r="D2">
        <f> 0.202</f>
        <v/>
      </c>
      <c r="E2" t="n">
        <v>-0.09</v>
      </c>
      <c r="F2" t="inlineStr">
        <is>
          <t>[-0.23, 0.05]</t>
        </is>
      </c>
      <c r="G2">
        <f> 0.214</f>
        <v/>
      </c>
      <c r="H2" t="inlineStr"/>
    </row>
    <row r="3">
      <c r="A3" t="inlineStr">
        <is>
          <t>L Caudalanteriorcingulate</t>
        </is>
      </c>
      <c r="B3" t="n">
        <v>-1.55</v>
      </c>
      <c r="C3" t="n">
        <v>786</v>
      </c>
      <c r="D3">
        <f> 0.121</f>
        <v/>
      </c>
      <c r="E3" t="n">
        <v>-0.11</v>
      </c>
      <c r="F3" t="inlineStr">
        <is>
          <t>[-0.25, 0.03]</t>
        </is>
      </c>
      <c r="G3">
        <f> 0.148</f>
        <v/>
      </c>
      <c r="H3" t="inlineStr"/>
    </row>
    <row r="4">
      <c r="A4" t="inlineStr">
        <is>
          <t>L Caudalmiddlefrontal</t>
        </is>
      </c>
      <c r="B4" t="n">
        <v>-1.66</v>
      </c>
      <c r="C4" t="n">
        <v>786</v>
      </c>
      <c r="D4">
        <f> 0.097</f>
        <v/>
      </c>
      <c r="E4" t="n">
        <v>-0.12</v>
      </c>
      <c r="F4" t="inlineStr">
        <is>
          <t>[-0.26, 0.02]</t>
        </is>
      </c>
      <c r="G4">
        <f> 0.125</f>
        <v/>
      </c>
      <c r="H4" t="inlineStr"/>
    </row>
    <row r="5">
      <c r="A5" t="inlineStr">
        <is>
          <t>L Cuneus</t>
        </is>
      </c>
      <c r="B5" t="n">
        <v>-3.52</v>
      </c>
      <c r="C5" t="n">
        <v>786</v>
      </c>
      <c r="D5" t="inlineStr">
        <is>
          <t>&lt; .001</t>
        </is>
      </c>
      <c r="E5" t="n">
        <v>-0.25</v>
      </c>
      <c r="F5" t="inlineStr">
        <is>
          <t>[-0.39, -0.11]</t>
        </is>
      </c>
      <c r="G5">
        <f> 0.008</f>
        <v/>
      </c>
      <c r="H5" t="inlineStr">
        <is>
          <t>✓</t>
        </is>
      </c>
    </row>
    <row r="6">
      <c r="A6" t="inlineStr">
        <is>
          <t>L Entorhinal</t>
        </is>
      </c>
      <c r="B6" t="n">
        <v>-2.54</v>
      </c>
      <c r="C6" t="n">
        <v>786</v>
      </c>
      <c r="D6">
        <f> 0.011</f>
        <v/>
      </c>
      <c r="E6" t="n">
        <v>-0.18</v>
      </c>
      <c r="F6" t="inlineStr">
        <is>
          <t>[-0.32, -0.04]</t>
        </is>
      </c>
      <c r="G6">
        <f> 0.028</f>
        <v/>
      </c>
      <c r="H6" t="inlineStr">
        <is>
          <t>✓</t>
        </is>
      </c>
    </row>
    <row r="7">
      <c r="A7" t="inlineStr">
        <is>
          <t>L Fusiform</t>
        </is>
      </c>
      <c r="B7" t="n">
        <v>-2.09</v>
      </c>
      <c r="C7" t="n">
        <v>786</v>
      </c>
      <c r="D7">
        <f> 0.037</f>
        <v/>
      </c>
      <c r="E7" t="n">
        <v>-0.15</v>
      </c>
      <c r="F7" t="inlineStr">
        <is>
          <t>[-0.29, -0.01]</t>
        </is>
      </c>
      <c r="G7">
        <f> 0.062</f>
        <v/>
      </c>
      <c r="H7" t="inlineStr"/>
    </row>
    <row r="8">
      <c r="A8" t="inlineStr">
        <is>
          <t>L Inferiorparietal</t>
        </is>
      </c>
      <c r="B8" t="n">
        <v>-2.83</v>
      </c>
      <c r="C8" t="n">
        <v>786</v>
      </c>
      <c r="D8">
        <f> 0.005</f>
        <v/>
      </c>
      <c r="E8" t="n">
        <v>-0.2</v>
      </c>
      <c r="F8" t="inlineStr">
        <is>
          <t>[-0.34, -0.06]</t>
        </is>
      </c>
      <c r="G8">
        <f> 0.021</f>
        <v/>
      </c>
      <c r="H8" t="inlineStr">
        <is>
          <t>✓</t>
        </is>
      </c>
    </row>
    <row r="9">
      <c r="A9" t="inlineStr">
        <is>
          <t>L Inferiortemporal</t>
        </is>
      </c>
      <c r="B9" t="n">
        <v>-2.37</v>
      </c>
      <c r="C9" t="n">
        <v>786</v>
      </c>
      <c r="D9">
        <f> 0.018</f>
        <v/>
      </c>
      <c r="E9" t="n">
        <v>-0.17</v>
      </c>
      <c r="F9" t="inlineStr">
        <is>
          <t>[-0.31, -0.03]</t>
        </is>
      </c>
      <c r="G9">
        <f> 0.036</f>
        <v/>
      </c>
      <c r="H9" t="inlineStr">
        <is>
          <t>✓</t>
        </is>
      </c>
    </row>
    <row r="10">
      <c r="A10" t="inlineStr">
        <is>
          <t>L Isthmuscingulate</t>
        </is>
      </c>
      <c r="B10" t="n">
        <v>-1.56</v>
      </c>
      <c r="C10" t="n">
        <v>786</v>
      </c>
      <c r="D10">
        <f> 0.119</f>
        <v/>
      </c>
      <c r="E10" t="n">
        <v>-0.11</v>
      </c>
      <c r="F10" t="inlineStr">
        <is>
          <t>[-0.25, 0.03]</t>
        </is>
      </c>
      <c r="G10">
        <f> 0.148</f>
        <v/>
      </c>
      <c r="H10" t="inlineStr"/>
    </row>
    <row r="11">
      <c r="A11" t="inlineStr">
        <is>
          <t>L Lateraloccipital</t>
        </is>
      </c>
      <c r="B11" t="n">
        <v>-2.98</v>
      </c>
      <c r="C11" t="n">
        <v>786</v>
      </c>
      <c r="D11">
        <f> 0.003</f>
        <v/>
      </c>
      <c r="E11" t="n">
        <v>-0.21</v>
      </c>
      <c r="F11" t="inlineStr">
        <is>
          <t>[-0.35, -0.07]</t>
        </is>
      </c>
      <c r="G11">
        <f> 0.021</f>
        <v/>
      </c>
      <c r="H11" t="inlineStr">
        <is>
          <t>✓</t>
        </is>
      </c>
    </row>
    <row r="12">
      <c r="A12" t="inlineStr">
        <is>
          <t>L Lateralorbitofrontal</t>
        </is>
      </c>
      <c r="B12" t="n">
        <v>-2.32</v>
      </c>
      <c r="C12" t="n">
        <v>786</v>
      </c>
      <c r="D12">
        <f> 0.021</f>
        <v/>
      </c>
      <c r="E12" t="n">
        <v>-0.16</v>
      </c>
      <c r="F12" t="inlineStr">
        <is>
          <t>[-0.30, -0.02]</t>
        </is>
      </c>
      <c r="G12">
        <f> 0.040</f>
        <v/>
      </c>
      <c r="H12" t="inlineStr">
        <is>
          <t>✓</t>
        </is>
      </c>
    </row>
    <row r="13">
      <c r="A13" t="inlineStr">
        <is>
          <t>L Lingual</t>
        </is>
      </c>
      <c r="B13" t="n">
        <v>-1.54</v>
      </c>
      <c r="C13" t="n">
        <v>786</v>
      </c>
      <c r="D13">
        <f> 0.124</f>
        <v/>
      </c>
      <c r="E13" t="n">
        <v>-0.11</v>
      </c>
      <c r="F13" t="inlineStr">
        <is>
          <t>[-0.25, 0.03]</t>
        </is>
      </c>
      <c r="G13">
        <f> 0.148</f>
        <v/>
      </c>
      <c r="H13" t="inlineStr"/>
    </row>
    <row r="14">
      <c r="A14" t="inlineStr">
        <is>
          <t>L Medialorbitofrontal</t>
        </is>
      </c>
      <c r="B14" t="n">
        <v>-2.54</v>
      </c>
      <c r="C14" t="n">
        <v>786</v>
      </c>
      <c r="D14">
        <f> 0.011</f>
        <v/>
      </c>
      <c r="E14" t="n">
        <v>-0.18</v>
      </c>
      <c r="F14" t="inlineStr">
        <is>
          <t>[-0.32, -0.04]</t>
        </is>
      </c>
      <c r="G14">
        <f> 0.028</f>
        <v/>
      </c>
      <c r="H14" t="inlineStr">
        <is>
          <t>✓</t>
        </is>
      </c>
    </row>
    <row r="15">
      <c r="A15" t="inlineStr">
        <is>
          <t>L Middletemporal</t>
        </is>
      </c>
      <c r="B15" t="n">
        <v>-2.46</v>
      </c>
      <c r="C15" t="n">
        <v>786</v>
      </c>
      <c r="D15">
        <f> 0.014</f>
        <v/>
      </c>
      <c r="E15" t="n">
        <v>-0.18</v>
      </c>
      <c r="F15" t="inlineStr">
        <is>
          <t>[-0.32, -0.04]</t>
        </is>
      </c>
      <c r="G15">
        <f> 0.032</f>
        <v/>
      </c>
      <c r="H15" t="inlineStr">
        <is>
          <t>✓</t>
        </is>
      </c>
    </row>
    <row r="16">
      <c r="A16" t="inlineStr">
        <is>
          <t>L Parahippocampal</t>
        </is>
      </c>
      <c r="B16" t="n">
        <v>-1.54</v>
      </c>
      <c r="C16" t="n">
        <v>786</v>
      </c>
      <c r="D16">
        <f> 0.124</f>
        <v/>
      </c>
      <c r="E16" t="n">
        <v>-0.11</v>
      </c>
      <c r="F16" t="inlineStr">
        <is>
          <t>[-0.25, 0.03]</t>
        </is>
      </c>
      <c r="G16">
        <f> 0.148</f>
        <v/>
      </c>
      <c r="H16" t="inlineStr"/>
    </row>
    <row r="17">
      <c r="A17" t="inlineStr">
        <is>
          <t>L Paracentral</t>
        </is>
      </c>
      <c r="B17" t="n">
        <v>-2.71</v>
      </c>
      <c r="C17" t="n">
        <v>786</v>
      </c>
      <c r="D17">
        <f> 0.007</f>
        <v/>
      </c>
      <c r="E17" t="n">
        <v>-0.19</v>
      </c>
      <c r="F17" t="inlineStr">
        <is>
          <t>[-0.33, -0.05]</t>
        </is>
      </c>
      <c r="G17">
        <f> 0.023</f>
        <v/>
      </c>
      <c r="H17" t="inlineStr">
        <is>
          <t>✓</t>
        </is>
      </c>
    </row>
    <row r="18">
      <c r="A18" t="inlineStr">
        <is>
          <t>L Parsopercularis</t>
        </is>
      </c>
      <c r="B18" t="n">
        <v>-1.82</v>
      </c>
      <c r="C18" t="n">
        <v>786</v>
      </c>
      <c r="D18">
        <f> 0.070</f>
        <v/>
      </c>
      <c r="E18" t="n">
        <v>-0.13</v>
      </c>
      <c r="F18" t="inlineStr">
        <is>
          <t>[-0.27, 0.01]</t>
        </is>
      </c>
      <c r="G18">
        <f> 0.095</f>
        <v/>
      </c>
      <c r="H18" t="inlineStr"/>
    </row>
    <row r="19">
      <c r="A19" t="inlineStr">
        <is>
          <t>L Parsorbitalis</t>
        </is>
      </c>
      <c r="B19" t="n">
        <v>-1.36</v>
      </c>
      <c r="C19" t="n">
        <v>786</v>
      </c>
      <c r="D19">
        <f> 0.173</f>
        <v/>
      </c>
      <c r="E19" t="n">
        <v>-0.1</v>
      </c>
      <c r="F19" t="inlineStr">
        <is>
          <t>[-0.24, 0.04]</t>
        </is>
      </c>
      <c r="G19">
        <f> 0.187</f>
        <v/>
      </c>
      <c r="H19" t="inlineStr"/>
    </row>
    <row r="20">
      <c r="A20" t="inlineStr">
        <is>
          <t>L Parstriangularis</t>
        </is>
      </c>
      <c r="B20" t="n">
        <v>-2.63</v>
      </c>
      <c r="C20" t="n">
        <v>786</v>
      </c>
      <c r="D20">
        <f> 0.009</f>
        <v/>
      </c>
      <c r="E20" t="n">
        <v>-0.19</v>
      </c>
      <c r="F20" t="inlineStr">
        <is>
          <t>[-0.33, -0.05]</t>
        </is>
      </c>
      <c r="G20">
        <f> 0.026</f>
        <v/>
      </c>
      <c r="H20" t="inlineStr">
        <is>
          <t>✓</t>
        </is>
      </c>
    </row>
    <row r="21">
      <c r="A21" t="inlineStr">
        <is>
          <t>L Pericalcarine</t>
        </is>
      </c>
      <c r="B21" t="n">
        <v>-2.87</v>
      </c>
      <c r="C21" t="n">
        <v>786</v>
      </c>
      <c r="D21">
        <f> 0.004</f>
        <v/>
      </c>
      <c r="E21" t="n">
        <v>-0.2</v>
      </c>
      <c r="F21" t="inlineStr">
        <is>
          <t>[-0.34, -0.06]</t>
        </is>
      </c>
      <c r="G21">
        <f> 0.021</f>
        <v/>
      </c>
      <c r="H21" t="inlineStr">
        <is>
          <t>✓</t>
        </is>
      </c>
    </row>
    <row r="22">
      <c r="A22" t="inlineStr">
        <is>
          <t>L Postcentral</t>
        </is>
      </c>
      <c r="B22" t="n">
        <v>-1.37</v>
      </c>
      <c r="C22" t="n">
        <v>786</v>
      </c>
      <c r="D22">
        <f> 0.172</f>
        <v/>
      </c>
      <c r="E22" t="n">
        <v>-0.1</v>
      </c>
      <c r="F22" t="inlineStr">
        <is>
          <t>[-0.24, 0.04]</t>
        </is>
      </c>
      <c r="G22">
        <f> 0.187</f>
        <v/>
      </c>
      <c r="H22" t="inlineStr"/>
    </row>
    <row r="23">
      <c r="A23" t="inlineStr">
        <is>
          <t>L Posteriorcingulate</t>
        </is>
      </c>
      <c r="B23" t="n">
        <v>-1.42</v>
      </c>
      <c r="C23" t="n">
        <v>786</v>
      </c>
      <c r="D23">
        <f> 0.156</f>
        <v/>
      </c>
      <c r="E23" t="n">
        <v>-0.1</v>
      </c>
      <c r="F23" t="inlineStr">
        <is>
          <t>[-0.24, 0.04]</t>
        </is>
      </c>
      <c r="G23">
        <f> 0.177</f>
        <v/>
      </c>
      <c r="H23" t="inlineStr"/>
    </row>
    <row r="24">
      <c r="A24" t="inlineStr">
        <is>
          <t>L Precentral</t>
        </is>
      </c>
      <c r="B24" t="n">
        <v>-2.01</v>
      </c>
      <c r="C24" t="n">
        <v>786</v>
      </c>
      <c r="D24">
        <f> 0.044</f>
        <v/>
      </c>
      <c r="E24" t="n">
        <v>-0.14</v>
      </c>
      <c r="F24" t="inlineStr">
        <is>
          <t>[-0.28, -0.00]</t>
        </is>
      </c>
      <c r="G24">
        <f> 0.067</f>
        <v/>
      </c>
      <c r="H24" t="inlineStr"/>
    </row>
    <row r="25">
      <c r="A25" t="inlineStr">
        <is>
          <t>L Precuneus</t>
        </is>
      </c>
      <c r="B25" t="n">
        <v>-2.9</v>
      </c>
      <c r="C25" t="n">
        <v>786</v>
      </c>
      <c r="D25">
        <f> 0.004</f>
        <v/>
      </c>
      <c r="E25" t="n">
        <v>-0.21</v>
      </c>
      <c r="F25" t="inlineStr">
        <is>
          <t>[-0.35, -0.07]</t>
        </is>
      </c>
      <c r="G25">
        <f> 0.021</f>
        <v/>
      </c>
      <c r="H25" t="inlineStr">
        <is>
          <t>✓</t>
        </is>
      </c>
    </row>
    <row r="26">
      <c r="A26" t="inlineStr">
        <is>
          <t>L Rostralanteriorcingulate</t>
        </is>
      </c>
      <c r="B26" t="n">
        <v>-2.2</v>
      </c>
      <c r="C26" t="n">
        <v>786</v>
      </c>
      <c r="D26">
        <f> 0.028</f>
        <v/>
      </c>
      <c r="E26" t="n">
        <v>-0.16</v>
      </c>
      <c r="F26" t="inlineStr">
        <is>
          <t>[-0.30, -0.02]</t>
        </is>
      </c>
      <c r="G26">
        <f> 0.049</f>
        <v/>
      </c>
      <c r="H26" t="inlineStr">
        <is>
          <t>✓</t>
        </is>
      </c>
    </row>
    <row r="27">
      <c r="A27" t="inlineStr">
        <is>
          <t>L Rostralmiddlefrontal</t>
        </is>
      </c>
      <c r="B27" t="n">
        <v>-2.66</v>
      </c>
      <c r="C27" t="n">
        <v>786</v>
      </c>
      <c r="D27">
        <f> 0.008</f>
        <v/>
      </c>
      <c r="E27" t="n">
        <v>-0.19</v>
      </c>
      <c r="F27" t="inlineStr">
        <is>
          <t>[-0.33, -0.05]</t>
        </is>
      </c>
      <c r="G27">
        <f> 0.025</f>
        <v/>
      </c>
      <c r="H27" t="inlineStr">
        <is>
          <t>✓</t>
        </is>
      </c>
    </row>
    <row r="28">
      <c r="A28" t="inlineStr">
        <is>
          <t>L Superiorfrontal</t>
        </is>
      </c>
      <c r="B28" t="n">
        <v>-3.6</v>
      </c>
      <c r="C28" t="n">
        <v>786</v>
      </c>
      <c r="D28" t="inlineStr">
        <is>
          <t>&lt; .001</t>
        </is>
      </c>
      <c r="E28" t="n">
        <v>-0.26</v>
      </c>
      <c r="F28" t="inlineStr">
        <is>
          <t>[-0.40, -0.12]</t>
        </is>
      </c>
      <c r="G28">
        <f> 0.008</f>
        <v/>
      </c>
      <c r="H28" t="inlineStr">
        <is>
          <t>✓</t>
        </is>
      </c>
    </row>
    <row r="29">
      <c r="A29" t="inlineStr">
        <is>
          <t>L Superiorparietal</t>
        </is>
      </c>
      <c r="B29" t="n">
        <v>-2.75</v>
      </c>
      <c r="C29" t="n">
        <v>786</v>
      </c>
      <c r="D29">
        <f> 0.006</f>
        <v/>
      </c>
      <c r="E29" t="n">
        <v>-0.2</v>
      </c>
      <c r="F29" t="inlineStr">
        <is>
          <t>[-0.34, -0.06]</t>
        </is>
      </c>
      <c r="G29">
        <f> 0.022</f>
        <v/>
      </c>
      <c r="H29" t="inlineStr">
        <is>
          <t>✓</t>
        </is>
      </c>
    </row>
    <row r="30">
      <c r="A30" t="inlineStr">
        <is>
          <t>L Superiortemporal</t>
        </is>
      </c>
      <c r="B30" t="n">
        <v>-2.77</v>
      </c>
      <c r="C30" t="n">
        <v>786</v>
      </c>
      <c r="D30">
        <f> 0.006</f>
        <v/>
      </c>
      <c r="E30" t="n">
        <v>-0.2</v>
      </c>
      <c r="F30" t="inlineStr">
        <is>
          <t>[-0.34, -0.06]</t>
        </is>
      </c>
      <c r="G30">
        <f> 0.022</f>
        <v/>
      </c>
      <c r="H30" t="inlineStr">
        <is>
          <t>✓</t>
        </is>
      </c>
    </row>
    <row r="31">
      <c r="A31" t="inlineStr">
        <is>
          <t>L Supramarginal</t>
        </is>
      </c>
      <c r="B31" t="n">
        <v>-2.6</v>
      </c>
      <c r="C31" t="n">
        <v>786</v>
      </c>
      <c r="D31">
        <f> 0.009</f>
        <v/>
      </c>
      <c r="E31" t="n">
        <v>-0.19</v>
      </c>
      <c r="F31" t="inlineStr">
        <is>
          <t>[-0.33, -0.05]</t>
        </is>
      </c>
      <c r="G31">
        <f> 0.027</f>
        <v/>
      </c>
      <c r="H31" t="inlineStr">
        <is>
          <t>✓</t>
        </is>
      </c>
    </row>
    <row r="32">
      <c r="A32" t="inlineStr">
        <is>
          <t>L Frontalpole</t>
        </is>
      </c>
      <c r="B32" t="n">
        <v>-0.9</v>
      </c>
      <c r="C32" t="n">
        <v>786</v>
      </c>
      <c r="D32">
        <f> 0.368</f>
        <v/>
      </c>
      <c r="E32" t="n">
        <v>-0.06</v>
      </c>
      <c r="F32" t="inlineStr">
        <is>
          <t>[-0.20, 0.08]</t>
        </is>
      </c>
      <c r="G32">
        <f> 0.379</f>
        <v/>
      </c>
      <c r="H32" t="inlineStr"/>
    </row>
    <row r="33">
      <c r="A33" t="inlineStr">
        <is>
          <t>L Temporalpole</t>
        </is>
      </c>
      <c r="B33" t="n">
        <v>-2.79</v>
      </c>
      <c r="C33" t="n">
        <v>786</v>
      </c>
      <c r="D33">
        <f> 0.005</f>
        <v/>
      </c>
      <c r="E33" t="n">
        <v>-0.2</v>
      </c>
      <c r="F33" t="inlineStr">
        <is>
          <t>[-0.34, -0.06]</t>
        </is>
      </c>
      <c r="G33">
        <f> 0.021</f>
        <v/>
      </c>
      <c r="H33" t="inlineStr">
        <is>
          <t>✓</t>
        </is>
      </c>
    </row>
    <row r="34">
      <c r="A34" t="inlineStr">
        <is>
          <t>L Transversetemporal</t>
        </is>
      </c>
      <c r="B34" t="n">
        <v>-2.05</v>
      </c>
      <c r="C34" t="n">
        <v>786</v>
      </c>
      <c r="D34">
        <f> 0.041</f>
        <v/>
      </c>
      <c r="E34" t="n">
        <v>-0.15</v>
      </c>
      <c r="F34" t="inlineStr">
        <is>
          <t>[-0.29, -0.01]</t>
        </is>
      </c>
      <c r="G34">
        <f> 0.063</f>
        <v/>
      </c>
      <c r="H34" t="inlineStr"/>
    </row>
    <row r="35">
      <c r="A35" t="inlineStr">
        <is>
          <t>L Insula</t>
        </is>
      </c>
      <c r="B35" t="n">
        <v>-1.91</v>
      </c>
      <c r="C35" t="n">
        <v>786</v>
      </c>
      <c r="D35">
        <f> 0.057</f>
        <v/>
      </c>
      <c r="E35" t="n">
        <v>-0.14</v>
      </c>
      <c r="F35" t="inlineStr">
        <is>
          <t>[-0.28, 0.00]</t>
        </is>
      </c>
      <c r="G35">
        <f> 0.081</f>
        <v/>
      </c>
      <c r="H35" t="inlineStr"/>
    </row>
    <row r="36">
      <c r="A36" t="inlineStr">
        <is>
          <t>R Bankssts</t>
        </is>
      </c>
      <c r="B36" t="n">
        <v>-2.3</v>
      </c>
      <c r="C36" t="n">
        <v>786</v>
      </c>
      <c r="D36">
        <f> 0.022</f>
        <v/>
      </c>
      <c r="E36" t="n">
        <v>-0.16</v>
      </c>
      <c r="F36" t="inlineStr">
        <is>
          <t>[-0.30, -0.02]</t>
        </is>
      </c>
      <c r="G36">
        <f> 0.041</f>
        <v/>
      </c>
      <c r="H36" t="inlineStr">
        <is>
          <t>✓</t>
        </is>
      </c>
    </row>
    <row r="37">
      <c r="A37" t="inlineStr">
        <is>
          <t>R Caudalanteriorcingulate</t>
        </is>
      </c>
      <c r="B37" t="n">
        <v>-1.4</v>
      </c>
      <c r="C37" t="n">
        <v>786</v>
      </c>
      <c r="D37">
        <f> 0.163</f>
        <v/>
      </c>
      <c r="E37" t="n">
        <v>-0.1</v>
      </c>
      <c r="F37" t="inlineStr">
        <is>
          <t>[-0.24, 0.04]</t>
        </is>
      </c>
      <c r="G37">
        <f> 0.181</f>
        <v/>
      </c>
      <c r="H37" t="inlineStr"/>
    </row>
    <row r="38">
      <c r="A38" t="inlineStr">
        <is>
          <t>R Caudalmiddlefrontal</t>
        </is>
      </c>
      <c r="B38" t="n">
        <v>-0.76</v>
      </c>
      <c r="C38" t="n">
        <v>786</v>
      </c>
      <c r="D38">
        <f> 0.448</f>
        <v/>
      </c>
      <c r="E38" t="n">
        <v>-0.05</v>
      </c>
      <c r="F38" t="inlineStr">
        <is>
          <t>[-0.19, 0.09]</t>
        </is>
      </c>
      <c r="G38">
        <f> 0.448</f>
        <v/>
      </c>
      <c r="H38" t="inlineStr"/>
    </row>
    <row r="39">
      <c r="A39" t="inlineStr">
        <is>
          <t>R Cuneus</t>
        </is>
      </c>
      <c r="B39" t="n">
        <v>-2.49</v>
      </c>
      <c r="C39" t="n">
        <v>786</v>
      </c>
      <c r="D39">
        <f> 0.013</f>
        <v/>
      </c>
      <c r="E39" t="n">
        <v>-0.18</v>
      </c>
      <c r="F39" t="inlineStr">
        <is>
          <t>[-0.32, -0.04]</t>
        </is>
      </c>
      <c r="G39">
        <f> 0.030</f>
        <v/>
      </c>
      <c r="H39" t="inlineStr">
        <is>
          <t>✓</t>
        </is>
      </c>
    </row>
    <row r="40">
      <c r="A40" t="inlineStr">
        <is>
          <t>R Entorhinal</t>
        </is>
      </c>
      <c r="B40" t="n">
        <v>-2.06</v>
      </c>
      <c r="C40" t="n">
        <v>786</v>
      </c>
      <c r="D40">
        <f> 0.040</f>
        <v/>
      </c>
      <c r="E40" t="n">
        <v>-0.15</v>
      </c>
      <c r="F40" t="inlineStr">
        <is>
          <t>[-0.29, -0.01]</t>
        </is>
      </c>
      <c r="G40">
        <f> 0.063</f>
        <v/>
      </c>
      <c r="H40" t="inlineStr"/>
    </row>
    <row r="41">
      <c r="A41" t="inlineStr">
        <is>
          <t>R Fusiform</t>
        </is>
      </c>
      <c r="B41" t="n">
        <v>-2.74</v>
      </c>
      <c r="C41" t="n">
        <v>786</v>
      </c>
      <c r="D41">
        <f> 0.006</f>
        <v/>
      </c>
      <c r="E41" t="n">
        <v>-0.2</v>
      </c>
      <c r="F41" t="inlineStr">
        <is>
          <t>[-0.34, -0.06]</t>
        </is>
      </c>
      <c r="G41">
        <f> 0.022</f>
        <v/>
      </c>
      <c r="H41" t="inlineStr">
        <is>
          <t>✓</t>
        </is>
      </c>
    </row>
    <row r="42">
      <c r="A42" t="inlineStr">
        <is>
          <t>R Inferiorparietal</t>
        </is>
      </c>
      <c r="B42" t="n">
        <v>-1.97</v>
      </c>
      <c r="C42" t="n">
        <v>786</v>
      </c>
      <c r="D42">
        <f> 0.050</f>
        <v/>
      </c>
      <c r="E42" t="n">
        <v>-0.14</v>
      </c>
      <c r="F42" t="inlineStr">
        <is>
          <t>[-0.28, 0.00]</t>
        </is>
      </c>
      <c r="G42">
        <f> 0.072</f>
        <v/>
      </c>
      <c r="H42" t="inlineStr"/>
    </row>
    <row r="43">
      <c r="A43" t="inlineStr">
        <is>
          <t>R Inferiortemporal</t>
        </is>
      </c>
      <c r="B43" t="n">
        <v>-3.24</v>
      </c>
      <c r="C43" t="n">
        <v>786</v>
      </c>
      <c r="D43">
        <f> 0.001</f>
        <v/>
      </c>
      <c r="E43" t="n">
        <v>-0.23</v>
      </c>
      <c r="F43" t="inlineStr">
        <is>
          <t>[-0.37, -0.09]</t>
        </is>
      </c>
      <c r="G43">
        <f> 0.017</f>
        <v/>
      </c>
      <c r="H43" t="inlineStr">
        <is>
          <t>✓</t>
        </is>
      </c>
    </row>
    <row r="44">
      <c r="A44" t="inlineStr">
        <is>
          <t>R Isthmuscingulate</t>
        </is>
      </c>
      <c r="B44" t="n">
        <v>-2.81</v>
      </c>
      <c r="C44" t="n">
        <v>786</v>
      </c>
      <c r="D44">
        <f> 0.005</f>
        <v/>
      </c>
      <c r="E44" t="n">
        <v>-0.2</v>
      </c>
      <c r="F44" t="inlineStr">
        <is>
          <t>[-0.34, -0.06]</t>
        </is>
      </c>
      <c r="G44">
        <f> 0.021</f>
        <v/>
      </c>
      <c r="H44" t="inlineStr">
        <is>
          <t>✓</t>
        </is>
      </c>
    </row>
    <row r="45">
      <c r="A45" t="inlineStr">
        <is>
          <t>R Lateraloccipital</t>
        </is>
      </c>
      <c r="B45" t="n">
        <v>-2.42</v>
      </c>
      <c r="C45" t="n">
        <v>786</v>
      </c>
      <c r="D45">
        <f> 0.016</f>
        <v/>
      </c>
      <c r="E45" t="n">
        <v>-0.17</v>
      </c>
      <c r="F45" t="inlineStr">
        <is>
          <t>[-0.31, -0.03]</t>
        </is>
      </c>
      <c r="G45">
        <f> 0.033</f>
        <v/>
      </c>
      <c r="H45" t="inlineStr">
        <is>
          <t>✓</t>
        </is>
      </c>
    </row>
    <row r="46">
      <c r="A46" t="inlineStr">
        <is>
          <t>R Lateralorbitofrontal</t>
        </is>
      </c>
      <c r="B46" t="n">
        <v>-1.48</v>
      </c>
      <c r="C46" t="n">
        <v>786</v>
      </c>
      <c r="D46">
        <f> 0.140</f>
        <v/>
      </c>
      <c r="E46" t="n">
        <v>-0.11</v>
      </c>
      <c r="F46" t="inlineStr">
        <is>
          <t>[-0.25, 0.03]</t>
        </is>
      </c>
      <c r="G46">
        <f> 0.164</f>
        <v/>
      </c>
      <c r="H46" t="inlineStr"/>
    </row>
    <row r="47">
      <c r="A47" t="inlineStr">
        <is>
          <t>R Lingual</t>
        </is>
      </c>
      <c r="B47" t="n">
        <v>-1.72</v>
      </c>
      <c r="C47" t="n">
        <v>786</v>
      </c>
      <c r="D47">
        <f> 0.086</f>
        <v/>
      </c>
      <c r="E47" t="n">
        <v>-0.12</v>
      </c>
      <c r="F47" t="inlineStr">
        <is>
          <t>[-0.26, 0.02]</t>
        </is>
      </c>
      <c r="G47">
        <f> 0.115</f>
        <v/>
      </c>
      <c r="H47" t="inlineStr"/>
    </row>
    <row r="48">
      <c r="A48" t="inlineStr">
        <is>
          <t>R Medialorbitofrontal</t>
        </is>
      </c>
      <c r="B48" t="n">
        <v>-2.26</v>
      </c>
      <c r="C48" t="n">
        <v>786</v>
      </c>
      <c r="D48">
        <f> 0.024</f>
        <v/>
      </c>
      <c r="E48" t="n">
        <v>-0.16</v>
      </c>
      <c r="F48" t="inlineStr">
        <is>
          <t>[-0.30, -0.02]</t>
        </is>
      </c>
      <c r="G48">
        <f> 0.044</f>
        <v/>
      </c>
      <c r="H48" t="inlineStr">
        <is>
          <t>✓</t>
        </is>
      </c>
    </row>
    <row r="49">
      <c r="A49" t="inlineStr">
        <is>
          <t>R Middletemporal</t>
        </is>
      </c>
      <c r="B49" t="n">
        <v>-2.83</v>
      </c>
      <c r="C49" t="n">
        <v>786</v>
      </c>
      <c r="D49">
        <f> 0.005</f>
        <v/>
      </c>
      <c r="E49" t="n">
        <v>-0.2</v>
      </c>
      <c r="F49" t="inlineStr">
        <is>
          <t>[-0.34, -0.06]</t>
        </is>
      </c>
      <c r="G49">
        <f> 0.021</f>
        <v/>
      </c>
      <c r="H49" t="inlineStr">
        <is>
          <t>✓</t>
        </is>
      </c>
    </row>
    <row r="50">
      <c r="A50" t="inlineStr">
        <is>
          <t>R Parahippocampal</t>
        </is>
      </c>
      <c r="B50" t="n">
        <v>-1.66</v>
      </c>
      <c r="C50" t="n">
        <v>786</v>
      </c>
      <c r="D50">
        <f> 0.098</f>
        <v/>
      </c>
      <c r="E50" t="n">
        <v>-0.12</v>
      </c>
      <c r="F50" t="inlineStr">
        <is>
          <t>[-0.26, 0.02]</t>
        </is>
      </c>
      <c r="G50">
        <f> 0.125</f>
        <v/>
      </c>
      <c r="H50" t="inlineStr"/>
    </row>
    <row r="51">
      <c r="A51" t="inlineStr">
        <is>
          <t>R Paracentral</t>
        </is>
      </c>
      <c r="B51" t="n">
        <v>-0.77</v>
      </c>
      <c r="C51" t="n">
        <v>786</v>
      </c>
      <c r="D51">
        <f> 0.440</f>
        <v/>
      </c>
      <c r="E51" t="n">
        <v>-0.06</v>
      </c>
      <c r="F51" t="inlineStr">
        <is>
          <t>[-0.19, 0.08]</t>
        </is>
      </c>
      <c r="G51">
        <f> 0.447</f>
        <v/>
      </c>
      <c r="H51" t="inlineStr"/>
    </row>
    <row r="52">
      <c r="A52" t="inlineStr">
        <is>
          <t>R Parsopercularis</t>
        </is>
      </c>
      <c r="B52" t="n">
        <v>-1.45</v>
      </c>
      <c r="C52" t="n">
        <v>786</v>
      </c>
      <c r="D52">
        <f> 0.148</f>
        <v/>
      </c>
      <c r="E52" t="n">
        <v>-0.1</v>
      </c>
      <c r="F52" t="inlineStr">
        <is>
          <t>[-0.24, 0.04]</t>
        </is>
      </c>
      <c r="G52">
        <f> 0.171</f>
        <v/>
      </c>
      <c r="H52" t="inlineStr"/>
    </row>
    <row r="53">
      <c r="A53" t="inlineStr">
        <is>
          <t>R Parsorbitalis</t>
        </is>
      </c>
      <c r="B53" t="n">
        <v>-1.97</v>
      </c>
      <c r="C53" t="n">
        <v>786</v>
      </c>
      <c r="D53">
        <f> 0.049</f>
        <v/>
      </c>
      <c r="E53" t="n">
        <v>-0.14</v>
      </c>
      <c r="F53" t="inlineStr">
        <is>
          <t>[-0.28, -0.00]</t>
        </is>
      </c>
      <c r="G53">
        <f> 0.072</f>
        <v/>
      </c>
      <c r="H53" t="inlineStr"/>
    </row>
    <row r="54">
      <c r="A54" t="inlineStr">
        <is>
          <t>R Parstriangularis</t>
        </is>
      </c>
      <c r="B54" t="n">
        <v>-1.87</v>
      </c>
      <c r="C54" t="n">
        <v>786</v>
      </c>
      <c r="D54">
        <f> 0.062</f>
        <v/>
      </c>
      <c r="E54" t="n">
        <v>-0.13</v>
      </c>
      <c r="F54" t="inlineStr">
        <is>
          <t>[-0.27, 0.01]</t>
        </is>
      </c>
      <c r="G54">
        <f> 0.085</f>
        <v/>
      </c>
      <c r="H54" t="inlineStr"/>
    </row>
    <row r="55">
      <c r="A55" t="inlineStr">
        <is>
          <t>R Pericalcarine</t>
        </is>
      </c>
      <c r="B55" t="n">
        <v>-2.91</v>
      </c>
      <c r="C55" t="n">
        <v>786</v>
      </c>
      <c r="D55">
        <f> 0.004</f>
        <v/>
      </c>
      <c r="E55" t="n">
        <v>-0.21</v>
      </c>
      <c r="F55" t="inlineStr">
        <is>
          <t>[-0.35, -0.07]</t>
        </is>
      </c>
      <c r="G55">
        <f> 0.021</f>
        <v/>
      </c>
      <c r="H55" t="inlineStr">
        <is>
          <t>✓</t>
        </is>
      </c>
    </row>
    <row r="56">
      <c r="A56" t="inlineStr">
        <is>
          <t>R Postcentral</t>
        </is>
      </c>
      <c r="B56" t="n">
        <v>-2.86</v>
      </c>
      <c r="C56" t="n">
        <v>786</v>
      </c>
      <c r="D56">
        <f> 0.004</f>
        <v/>
      </c>
      <c r="E56" t="n">
        <v>-0.2</v>
      </c>
      <c r="F56" t="inlineStr">
        <is>
          <t>[-0.34, -0.06]</t>
        </is>
      </c>
      <c r="G56">
        <f> 0.021</f>
        <v/>
      </c>
      <c r="H56" t="inlineStr">
        <is>
          <t>✓</t>
        </is>
      </c>
    </row>
    <row r="57">
      <c r="A57" t="inlineStr">
        <is>
          <t>R Posteriorcingulate</t>
        </is>
      </c>
      <c r="B57" t="n">
        <v>-2.06</v>
      </c>
      <c r="C57" t="n">
        <v>786</v>
      </c>
      <c r="D57">
        <f> 0.039</f>
        <v/>
      </c>
      <c r="E57" t="n">
        <v>-0.15</v>
      </c>
      <c r="F57" t="inlineStr">
        <is>
          <t>[-0.29, -0.01]</t>
        </is>
      </c>
      <c r="G57">
        <f> 0.063</f>
        <v/>
      </c>
      <c r="H57" t="inlineStr"/>
    </row>
    <row r="58">
      <c r="A58" t="inlineStr">
        <is>
          <t>R Precentral</t>
        </is>
      </c>
      <c r="B58" t="n">
        <v>-2.93</v>
      </c>
      <c r="C58" t="n">
        <v>786</v>
      </c>
      <c r="D58">
        <f> 0.003</f>
        <v/>
      </c>
      <c r="E58" t="n">
        <v>-0.21</v>
      </c>
      <c r="F58" t="inlineStr">
        <is>
          <t>[-0.35, -0.07]</t>
        </is>
      </c>
      <c r="G58">
        <f> 0.021</f>
        <v/>
      </c>
      <c r="H58" t="inlineStr">
        <is>
          <t>✓</t>
        </is>
      </c>
    </row>
    <row r="59">
      <c r="A59" t="inlineStr">
        <is>
          <t>R Precuneus</t>
        </is>
      </c>
      <c r="B59" t="n">
        <v>-2.17</v>
      </c>
      <c r="C59" t="n">
        <v>786</v>
      </c>
      <c r="D59">
        <f> 0.030</f>
        <v/>
      </c>
      <c r="E59" t="n">
        <v>-0.16</v>
      </c>
      <c r="F59" t="inlineStr">
        <is>
          <t>[-0.30, -0.02]</t>
        </is>
      </c>
      <c r="G59">
        <f> 0.051</f>
        <v/>
      </c>
      <c r="H59" t="inlineStr"/>
    </row>
    <row r="60">
      <c r="A60" t="inlineStr">
        <is>
          <t>R Rostralanteriorcingulate</t>
        </is>
      </c>
      <c r="B60" t="n">
        <v>-1.2</v>
      </c>
      <c r="C60" t="n">
        <v>786</v>
      </c>
      <c r="D60">
        <f> 0.231</f>
        <v/>
      </c>
      <c r="E60" t="n">
        <v>-0.09</v>
      </c>
      <c r="F60" t="inlineStr">
        <is>
          <t>[-0.23, 0.05]</t>
        </is>
      </c>
      <c r="G60">
        <f> 0.242</f>
        <v/>
      </c>
      <c r="H60" t="inlineStr"/>
    </row>
    <row r="61">
      <c r="A61" t="inlineStr">
        <is>
          <t>R Rostralmiddlefrontal</t>
        </is>
      </c>
      <c r="B61" t="n">
        <v>-2.94</v>
      </c>
      <c r="C61" t="n">
        <v>786</v>
      </c>
      <c r="D61">
        <f> 0.003</f>
        <v/>
      </c>
      <c r="E61" t="n">
        <v>-0.21</v>
      </c>
      <c r="F61" t="inlineStr">
        <is>
          <t>[-0.35, -0.07]</t>
        </is>
      </c>
      <c r="G61">
        <f> 0.021</f>
        <v/>
      </c>
      <c r="H61" t="inlineStr">
        <is>
          <t>✓</t>
        </is>
      </c>
    </row>
    <row r="62">
      <c r="A62" t="inlineStr">
        <is>
          <t>R Superiorfrontal</t>
        </is>
      </c>
      <c r="B62" t="n">
        <v>-3.93</v>
      </c>
      <c r="C62" t="n">
        <v>786</v>
      </c>
      <c r="D62" t="inlineStr">
        <is>
          <t>&lt; .001</t>
        </is>
      </c>
      <c r="E62" t="n">
        <v>-0.28</v>
      </c>
      <c r="F62" t="inlineStr">
        <is>
          <t>[-0.42, -0.14]</t>
        </is>
      </c>
      <c r="G62">
        <f> 0.003</f>
        <v/>
      </c>
      <c r="H62" t="inlineStr">
        <is>
          <t>✓</t>
        </is>
      </c>
    </row>
    <row r="63">
      <c r="A63" t="inlineStr">
        <is>
          <t>R Superiorparietal</t>
        </is>
      </c>
      <c r="B63" t="n">
        <v>-2.39</v>
      </c>
      <c r="C63" t="n">
        <v>786</v>
      </c>
      <c r="D63">
        <f> 0.017</f>
        <v/>
      </c>
      <c r="E63" t="n">
        <v>-0.17</v>
      </c>
      <c r="F63" t="inlineStr">
        <is>
          <t>[-0.31, -0.03]</t>
        </is>
      </c>
      <c r="G63">
        <f> 0.035</f>
        <v/>
      </c>
      <c r="H63" t="inlineStr">
        <is>
          <t>✓</t>
        </is>
      </c>
    </row>
    <row r="64">
      <c r="A64" t="inlineStr">
        <is>
          <t>R Superiortemporal</t>
        </is>
      </c>
      <c r="B64" t="n">
        <v>-2.85</v>
      </c>
      <c r="C64" t="n">
        <v>786</v>
      </c>
      <c r="D64">
        <f> 0.004</f>
        <v/>
      </c>
      <c r="E64" t="n">
        <v>-0.2</v>
      </c>
      <c r="F64" t="inlineStr">
        <is>
          <t>[-0.34, -0.06]</t>
        </is>
      </c>
      <c r="G64">
        <f> 0.021</f>
        <v/>
      </c>
      <c r="H64" t="inlineStr">
        <is>
          <t>✓</t>
        </is>
      </c>
    </row>
    <row r="65">
      <c r="A65" t="inlineStr">
        <is>
          <t>R Supramarginal</t>
        </is>
      </c>
      <c r="B65" t="n">
        <v>-4.05</v>
      </c>
      <c r="C65" t="n">
        <v>786</v>
      </c>
      <c r="D65" t="inlineStr">
        <is>
          <t>&lt; .001</t>
        </is>
      </c>
      <c r="E65" t="n">
        <v>-0.29</v>
      </c>
      <c r="F65" t="inlineStr">
        <is>
          <t>[-0.43, -0.15]</t>
        </is>
      </c>
      <c r="G65">
        <f> 0.003</f>
        <v/>
      </c>
      <c r="H65" t="inlineStr">
        <is>
          <t>✓</t>
        </is>
      </c>
    </row>
    <row r="66">
      <c r="A66" t="inlineStr">
        <is>
          <t>R Frontalpole</t>
        </is>
      </c>
      <c r="B66" t="n">
        <v>-2.45</v>
      </c>
      <c r="C66" t="n">
        <v>786</v>
      </c>
      <c r="D66">
        <f> 0.015</f>
        <v/>
      </c>
      <c r="E66" t="n">
        <v>-0.17</v>
      </c>
      <c r="F66" t="inlineStr">
        <is>
          <t>[-0.31, -0.03]</t>
        </is>
      </c>
      <c r="G66">
        <f> 0.032</f>
        <v/>
      </c>
      <c r="H66" t="inlineStr">
        <is>
          <t>✓</t>
        </is>
      </c>
    </row>
    <row r="67">
      <c r="A67" t="inlineStr">
        <is>
          <t>R Temporalpole</t>
        </is>
      </c>
      <c r="B67" t="n">
        <v>-2.51</v>
      </c>
      <c r="C67" t="n">
        <v>786</v>
      </c>
      <c r="D67">
        <f> 0.012</f>
        <v/>
      </c>
      <c r="E67" t="n">
        <v>-0.18</v>
      </c>
      <c r="F67" t="inlineStr">
        <is>
          <t>[-0.32, -0.04]</t>
        </is>
      </c>
      <c r="G67">
        <f> 0.029</f>
        <v/>
      </c>
      <c r="H67" t="inlineStr">
        <is>
          <t>✓</t>
        </is>
      </c>
    </row>
    <row r="68">
      <c r="A68" t="inlineStr">
        <is>
          <t>R Transversetemporal</t>
        </is>
      </c>
      <c r="B68" t="n">
        <v>-2.55</v>
      </c>
      <c r="C68" t="n">
        <v>786</v>
      </c>
      <c r="D68">
        <f> 0.011</f>
        <v/>
      </c>
      <c r="E68" t="n">
        <v>-0.18</v>
      </c>
      <c r="F68" t="inlineStr">
        <is>
          <t>[-0.32, -0.04]</t>
        </is>
      </c>
      <c r="G68">
        <f> 0.028</f>
        <v/>
      </c>
      <c r="H68" t="inlineStr">
        <is>
          <t>✓</t>
        </is>
      </c>
    </row>
    <row r="69">
      <c r="A69" t="inlineStr">
        <is>
          <t>R Insula</t>
        </is>
      </c>
      <c r="B69" t="n">
        <v>-2.23</v>
      </c>
      <c r="C69" t="n">
        <v>786</v>
      </c>
      <c r="D69">
        <f> 0.026</f>
        <v/>
      </c>
      <c r="E69" t="n">
        <v>-0.16</v>
      </c>
      <c r="F69" t="inlineStr">
        <is>
          <t>[-0.30, -0.02]</t>
        </is>
      </c>
      <c r="G69">
        <f> 0.047</f>
        <v/>
      </c>
      <c r="H69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t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95% CI [d]</t>
        </is>
      </c>
      <c r="G1" s="1" t="inlineStr">
        <is>
          <t>p_FDR</t>
        </is>
      </c>
      <c r="H1" s="1" t="inlineStr">
        <is>
          <t>FDR sig.</t>
        </is>
      </c>
    </row>
    <row r="2">
      <c r="A2" t="inlineStr">
        <is>
          <t>L Cuneus</t>
        </is>
      </c>
      <c r="B2" t="n">
        <v>-3.52</v>
      </c>
      <c r="C2" t="n">
        <v>786</v>
      </c>
      <c r="D2" t="inlineStr">
        <is>
          <t>&lt; .001</t>
        </is>
      </c>
      <c r="E2" t="n">
        <v>-0.25</v>
      </c>
      <c r="F2" t="inlineStr">
        <is>
          <t>[-0.39, -0.11]</t>
        </is>
      </c>
      <c r="G2">
        <f> 0.008</f>
        <v/>
      </c>
      <c r="H2" t="inlineStr">
        <is>
          <t>✓</t>
        </is>
      </c>
    </row>
    <row r="3">
      <c r="A3" t="inlineStr">
        <is>
          <t>L Entorhinal</t>
        </is>
      </c>
      <c r="B3" t="n">
        <v>-2.54</v>
      </c>
      <c r="C3" t="n">
        <v>786</v>
      </c>
      <c r="D3">
        <f> 0.011</f>
        <v/>
      </c>
      <c r="E3" t="n">
        <v>-0.18</v>
      </c>
      <c r="F3" t="inlineStr">
        <is>
          <t>[-0.32, -0.04]</t>
        </is>
      </c>
      <c r="G3">
        <f> 0.028</f>
        <v/>
      </c>
      <c r="H3" t="inlineStr">
        <is>
          <t>✓</t>
        </is>
      </c>
    </row>
    <row r="4">
      <c r="A4" t="inlineStr">
        <is>
          <t>L Inferiorparietal</t>
        </is>
      </c>
      <c r="B4" t="n">
        <v>-2.83</v>
      </c>
      <c r="C4" t="n">
        <v>786</v>
      </c>
      <c r="D4">
        <f> 0.005</f>
        <v/>
      </c>
      <c r="E4" t="n">
        <v>-0.2</v>
      </c>
      <c r="F4" t="inlineStr">
        <is>
          <t>[-0.34, -0.06]</t>
        </is>
      </c>
      <c r="G4">
        <f> 0.021</f>
        <v/>
      </c>
      <c r="H4" t="inlineStr">
        <is>
          <t>✓</t>
        </is>
      </c>
    </row>
    <row r="5">
      <c r="A5" t="inlineStr">
        <is>
          <t>L Inferiortemporal</t>
        </is>
      </c>
      <c r="B5" t="n">
        <v>-2.37</v>
      </c>
      <c r="C5" t="n">
        <v>786</v>
      </c>
      <c r="D5">
        <f> 0.018</f>
        <v/>
      </c>
      <c r="E5" t="n">
        <v>-0.17</v>
      </c>
      <c r="F5" t="inlineStr">
        <is>
          <t>[-0.31, -0.03]</t>
        </is>
      </c>
      <c r="G5">
        <f> 0.036</f>
        <v/>
      </c>
      <c r="H5" t="inlineStr">
        <is>
          <t>✓</t>
        </is>
      </c>
    </row>
    <row r="6">
      <c r="A6" t="inlineStr">
        <is>
          <t>L Lateraloccipital</t>
        </is>
      </c>
      <c r="B6" t="n">
        <v>-2.98</v>
      </c>
      <c r="C6" t="n">
        <v>786</v>
      </c>
      <c r="D6">
        <f> 0.003</f>
        <v/>
      </c>
      <c r="E6" t="n">
        <v>-0.21</v>
      </c>
      <c r="F6" t="inlineStr">
        <is>
          <t>[-0.35, -0.07]</t>
        </is>
      </c>
      <c r="G6">
        <f> 0.021</f>
        <v/>
      </c>
      <c r="H6" t="inlineStr">
        <is>
          <t>✓</t>
        </is>
      </c>
    </row>
    <row r="7">
      <c r="A7" t="inlineStr">
        <is>
          <t>L Lateralorbitofrontal</t>
        </is>
      </c>
      <c r="B7" t="n">
        <v>-2.32</v>
      </c>
      <c r="C7" t="n">
        <v>786</v>
      </c>
      <c r="D7">
        <f> 0.021</f>
        <v/>
      </c>
      <c r="E7" t="n">
        <v>-0.16</v>
      </c>
      <c r="F7" t="inlineStr">
        <is>
          <t>[-0.30, -0.02]</t>
        </is>
      </c>
      <c r="G7">
        <f> 0.040</f>
        <v/>
      </c>
      <c r="H7" t="inlineStr">
        <is>
          <t>✓</t>
        </is>
      </c>
    </row>
    <row r="8">
      <c r="A8" t="inlineStr">
        <is>
          <t>L Medialorbitofrontal</t>
        </is>
      </c>
      <c r="B8" t="n">
        <v>-2.54</v>
      </c>
      <c r="C8" t="n">
        <v>786</v>
      </c>
      <c r="D8">
        <f> 0.011</f>
        <v/>
      </c>
      <c r="E8" t="n">
        <v>-0.18</v>
      </c>
      <c r="F8" t="inlineStr">
        <is>
          <t>[-0.32, -0.04]</t>
        </is>
      </c>
      <c r="G8">
        <f> 0.028</f>
        <v/>
      </c>
      <c r="H8" t="inlineStr">
        <is>
          <t>✓</t>
        </is>
      </c>
    </row>
    <row r="9">
      <c r="A9" t="inlineStr">
        <is>
          <t>L Middletemporal</t>
        </is>
      </c>
      <c r="B9" t="n">
        <v>-2.46</v>
      </c>
      <c r="C9" t="n">
        <v>786</v>
      </c>
      <c r="D9">
        <f> 0.014</f>
        <v/>
      </c>
      <c r="E9" t="n">
        <v>-0.18</v>
      </c>
      <c r="F9" t="inlineStr">
        <is>
          <t>[-0.32, -0.04]</t>
        </is>
      </c>
      <c r="G9">
        <f> 0.032</f>
        <v/>
      </c>
      <c r="H9" t="inlineStr">
        <is>
          <t>✓</t>
        </is>
      </c>
    </row>
    <row r="10">
      <c r="A10" t="inlineStr">
        <is>
          <t>L Paracentral</t>
        </is>
      </c>
      <c r="B10" t="n">
        <v>-2.71</v>
      </c>
      <c r="C10" t="n">
        <v>786</v>
      </c>
      <c r="D10">
        <f> 0.007</f>
        <v/>
      </c>
      <c r="E10" t="n">
        <v>-0.19</v>
      </c>
      <c r="F10" t="inlineStr">
        <is>
          <t>[-0.33, -0.05]</t>
        </is>
      </c>
      <c r="G10">
        <f> 0.023</f>
        <v/>
      </c>
      <c r="H10" t="inlineStr">
        <is>
          <t>✓</t>
        </is>
      </c>
    </row>
    <row r="11">
      <c r="A11" t="inlineStr">
        <is>
          <t>L Parstriangularis</t>
        </is>
      </c>
      <c r="B11" t="n">
        <v>-2.63</v>
      </c>
      <c r="C11" t="n">
        <v>786</v>
      </c>
      <c r="D11">
        <f> 0.009</f>
        <v/>
      </c>
      <c r="E11" t="n">
        <v>-0.19</v>
      </c>
      <c r="F11" t="inlineStr">
        <is>
          <t>[-0.33, -0.05]</t>
        </is>
      </c>
      <c r="G11">
        <f> 0.026</f>
        <v/>
      </c>
      <c r="H11" t="inlineStr">
        <is>
          <t>✓</t>
        </is>
      </c>
    </row>
    <row r="12">
      <c r="A12" t="inlineStr">
        <is>
          <t>L Pericalcarine</t>
        </is>
      </c>
      <c r="B12" t="n">
        <v>-2.87</v>
      </c>
      <c r="C12" t="n">
        <v>786</v>
      </c>
      <c r="D12">
        <f> 0.004</f>
        <v/>
      </c>
      <c r="E12" t="n">
        <v>-0.2</v>
      </c>
      <c r="F12" t="inlineStr">
        <is>
          <t>[-0.34, -0.06]</t>
        </is>
      </c>
      <c r="G12">
        <f> 0.021</f>
        <v/>
      </c>
      <c r="H12" t="inlineStr">
        <is>
          <t>✓</t>
        </is>
      </c>
    </row>
    <row r="13">
      <c r="A13" t="inlineStr">
        <is>
          <t>L Precuneus</t>
        </is>
      </c>
      <c r="B13" t="n">
        <v>-2.9</v>
      </c>
      <c r="C13" t="n">
        <v>786</v>
      </c>
      <c r="D13">
        <f> 0.004</f>
        <v/>
      </c>
      <c r="E13" t="n">
        <v>-0.21</v>
      </c>
      <c r="F13" t="inlineStr">
        <is>
          <t>[-0.35, -0.07]</t>
        </is>
      </c>
      <c r="G13">
        <f> 0.021</f>
        <v/>
      </c>
      <c r="H13" t="inlineStr">
        <is>
          <t>✓</t>
        </is>
      </c>
    </row>
    <row r="14">
      <c r="A14" t="inlineStr">
        <is>
          <t>L Rostralanteriorcingulate</t>
        </is>
      </c>
      <c r="B14" t="n">
        <v>-2.2</v>
      </c>
      <c r="C14" t="n">
        <v>786</v>
      </c>
      <c r="D14">
        <f> 0.028</f>
        <v/>
      </c>
      <c r="E14" t="n">
        <v>-0.16</v>
      </c>
      <c r="F14" t="inlineStr">
        <is>
          <t>[-0.30, -0.02]</t>
        </is>
      </c>
      <c r="G14">
        <f> 0.049</f>
        <v/>
      </c>
      <c r="H14" t="inlineStr">
        <is>
          <t>✓</t>
        </is>
      </c>
    </row>
    <row r="15">
      <c r="A15" t="inlineStr">
        <is>
          <t>L Rostralmiddlefrontal</t>
        </is>
      </c>
      <c r="B15" t="n">
        <v>-2.66</v>
      </c>
      <c r="C15" t="n">
        <v>786</v>
      </c>
      <c r="D15">
        <f> 0.008</f>
        <v/>
      </c>
      <c r="E15" t="n">
        <v>-0.19</v>
      </c>
      <c r="F15" t="inlineStr">
        <is>
          <t>[-0.33, -0.05]</t>
        </is>
      </c>
      <c r="G15">
        <f> 0.025</f>
        <v/>
      </c>
      <c r="H15" t="inlineStr">
        <is>
          <t>✓</t>
        </is>
      </c>
    </row>
    <row r="16">
      <c r="A16" t="inlineStr">
        <is>
          <t>L Superiorfrontal</t>
        </is>
      </c>
      <c r="B16" t="n">
        <v>-3.6</v>
      </c>
      <c r="C16" t="n">
        <v>786</v>
      </c>
      <c r="D16" t="inlineStr">
        <is>
          <t>&lt; .001</t>
        </is>
      </c>
      <c r="E16" t="n">
        <v>-0.26</v>
      </c>
      <c r="F16" t="inlineStr">
        <is>
          <t>[-0.40, -0.12]</t>
        </is>
      </c>
      <c r="G16">
        <f> 0.008</f>
        <v/>
      </c>
      <c r="H16" t="inlineStr">
        <is>
          <t>✓</t>
        </is>
      </c>
    </row>
    <row r="17">
      <c r="A17" t="inlineStr">
        <is>
          <t>L Superiorparietal</t>
        </is>
      </c>
      <c r="B17" t="n">
        <v>-2.75</v>
      </c>
      <c r="C17" t="n">
        <v>786</v>
      </c>
      <c r="D17">
        <f> 0.006</f>
        <v/>
      </c>
      <c r="E17" t="n">
        <v>-0.2</v>
      </c>
      <c r="F17" t="inlineStr">
        <is>
          <t>[-0.34, -0.06]</t>
        </is>
      </c>
      <c r="G17">
        <f> 0.022</f>
        <v/>
      </c>
      <c r="H17" t="inlineStr">
        <is>
          <t>✓</t>
        </is>
      </c>
    </row>
    <row r="18">
      <c r="A18" t="inlineStr">
        <is>
          <t>L Superiortemporal</t>
        </is>
      </c>
      <c r="B18" t="n">
        <v>-2.77</v>
      </c>
      <c r="C18" t="n">
        <v>786</v>
      </c>
      <c r="D18">
        <f> 0.006</f>
        <v/>
      </c>
      <c r="E18" t="n">
        <v>-0.2</v>
      </c>
      <c r="F18" t="inlineStr">
        <is>
          <t>[-0.34, -0.06]</t>
        </is>
      </c>
      <c r="G18">
        <f> 0.022</f>
        <v/>
      </c>
      <c r="H18" t="inlineStr">
        <is>
          <t>✓</t>
        </is>
      </c>
    </row>
    <row r="19">
      <c r="A19" t="inlineStr">
        <is>
          <t>L Supramarginal</t>
        </is>
      </c>
      <c r="B19" t="n">
        <v>-2.6</v>
      </c>
      <c r="C19" t="n">
        <v>786</v>
      </c>
      <c r="D19">
        <f> 0.009</f>
        <v/>
      </c>
      <c r="E19" t="n">
        <v>-0.19</v>
      </c>
      <c r="F19" t="inlineStr">
        <is>
          <t>[-0.33, -0.05]</t>
        </is>
      </c>
      <c r="G19">
        <f> 0.027</f>
        <v/>
      </c>
      <c r="H19" t="inlineStr">
        <is>
          <t>✓</t>
        </is>
      </c>
    </row>
    <row r="20">
      <c r="A20" t="inlineStr">
        <is>
          <t>L Temporalpole</t>
        </is>
      </c>
      <c r="B20" t="n">
        <v>-2.79</v>
      </c>
      <c r="C20" t="n">
        <v>786</v>
      </c>
      <c r="D20">
        <f> 0.005</f>
        <v/>
      </c>
      <c r="E20" t="n">
        <v>-0.2</v>
      </c>
      <c r="F20" t="inlineStr">
        <is>
          <t>[-0.34, -0.06]</t>
        </is>
      </c>
      <c r="G20">
        <f> 0.021</f>
        <v/>
      </c>
      <c r="H20" t="inlineStr">
        <is>
          <t>✓</t>
        </is>
      </c>
    </row>
    <row r="21">
      <c r="A21" t="inlineStr">
        <is>
          <t>R Bankssts</t>
        </is>
      </c>
      <c r="B21" t="n">
        <v>-2.3</v>
      </c>
      <c r="C21" t="n">
        <v>786</v>
      </c>
      <c r="D21">
        <f> 0.022</f>
        <v/>
      </c>
      <c r="E21" t="n">
        <v>-0.16</v>
      </c>
      <c r="F21" t="inlineStr">
        <is>
          <t>[-0.30, -0.02]</t>
        </is>
      </c>
      <c r="G21">
        <f> 0.041</f>
        <v/>
      </c>
      <c r="H21" t="inlineStr">
        <is>
          <t>✓</t>
        </is>
      </c>
    </row>
    <row r="22">
      <c r="A22" t="inlineStr">
        <is>
          <t>R Cuneus</t>
        </is>
      </c>
      <c r="B22" t="n">
        <v>-2.49</v>
      </c>
      <c r="C22" t="n">
        <v>786</v>
      </c>
      <c r="D22">
        <f> 0.013</f>
        <v/>
      </c>
      <c r="E22" t="n">
        <v>-0.18</v>
      </c>
      <c r="F22" t="inlineStr">
        <is>
          <t>[-0.32, -0.04]</t>
        </is>
      </c>
      <c r="G22">
        <f> 0.030</f>
        <v/>
      </c>
      <c r="H22" t="inlineStr">
        <is>
          <t>✓</t>
        </is>
      </c>
    </row>
    <row r="23">
      <c r="A23" t="inlineStr">
        <is>
          <t>R Fusiform</t>
        </is>
      </c>
      <c r="B23" t="n">
        <v>-2.74</v>
      </c>
      <c r="C23" t="n">
        <v>786</v>
      </c>
      <c r="D23">
        <f> 0.006</f>
        <v/>
      </c>
      <c r="E23" t="n">
        <v>-0.2</v>
      </c>
      <c r="F23" t="inlineStr">
        <is>
          <t>[-0.34, -0.06]</t>
        </is>
      </c>
      <c r="G23">
        <f> 0.022</f>
        <v/>
      </c>
      <c r="H23" t="inlineStr">
        <is>
          <t>✓</t>
        </is>
      </c>
    </row>
    <row r="24">
      <c r="A24" t="inlineStr">
        <is>
          <t>R Inferiortemporal</t>
        </is>
      </c>
      <c r="B24" t="n">
        <v>-3.24</v>
      </c>
      <c r="C24" t="n">
        <v>786</v>
      </c>
      <c r="D24">
        <f> 0.001</f>
        <v/>
      </c>
      <c r="E24" t="n">
        <v>-0.23</v>
      </c>
      <c r="F24" t="inlineStr">
        <is>
          <t>[-0.37, -0.09]</t>
        </is>
      </c>
      <c r="G24">
        <f> 0.017</f>
        <v/>
      </c>
      <c r="H24" t="inlineStr">
        <is>
          <t>✓</t>
        </is>
      </c>
    </row>
    <row r="25">
      <c r="A25" t="inlineStr">
        <is>
          <t>R Isthmuscingulate</t>
        </is>
      </c>
      <c r="B25" t="n">
        <v>-2.81</v>
      </c>
      <c r="C25" t="n">
        <v>786</v>
      </c>
      <c r="D25">
        <f> 0.005</f>
        <v/>
      </c>
      <c r="E25" t="n">
        <v>-0.2</v>
      </c>
      <c r="F25" t="inlineStr">
        <is>
          <t>[-0.34, -0.06]</t>
        </is>
      </c>
      <c r="G25">
        <f> 0.021</f>
        <v/>
      </c>
      <c r="H25" t="inlineStr">
        <is>
          <t>✓</t>
        </is>
      </c>
    </row>
    <row r="26">
      <c r="A26" t="inlineStr">
        <is>
          <t>R Lateraloccipital</t>
        </is>
      </c>
      <c r="B26" t="n">
        <v>-2.42</v>
      </c>
      <c r="C26" t="n">
        <v>786</v>
      </c>
      <c r="D26">
        <f> 0.016</f>
        <v/>
      </c>
      <c r="E26" t="n">
        <v>-0.17</v>
      </c>
      <c r="F26" t="inlineStr">
        <is>
          <t>[-0.31, -0.03]</t>
        </is>
      </c>
      <c r="G26">
        <f> 0.033</f>
        <v/>
      </c>
      <c r="H26" t="inlineStr">
        <is>
          <t>✓</t>
        </is>
      </c>
    </row>
    <row r="27">
      <c r="A27" t="inlineStr">
        <is>
          <t>R Medialorbitofrontal</t>
        </is>
      </c>
      <c r="B27" t="n">
        <v>-2.26</v>
      </c>
      <c r="C27" t="n">
        <v>786</v>
      </c>
      <c r="D27">
        <f> 0.024</f>
        <v/>
      </c>
      <c r="E27" t="n">
        <v>-0.16</v>
      </c>
      <c r="F27" t="inlineStr">
        <is>
          <t>[-0.30, -0.02]</t>
        </is>
      </c>
      <c r="G27">
        <f> 0.044</f>
        <v/>
      </c>
      <c r="H27" t="inlineStr">
        <is>
          <t>✓</t>
        </is>
      </c>
    </row>
    <row r="28">
      <c r="A28" t="inlineStr">
        <is>
          <t>R Middletemporal</t>
        </is>
      </c>
      <c r="B28" t="n">
        <v>-2.83</v>
      </c>
      <c r="C28" t="n">
        <v>786</v>
      </c>
      <c r="D28">
        <f> 0.005</f>
        <v/>
      </c>
      <c r="E28" t="n">
        <v>-0.2</v>
      </c>
      <c r="F28" t="inlineStr">
        <is>
          <t>[-0.34, -0.06]</t>
        </is>
      </c>
      <c r="G28">
        <f> 0.021</f>
        <v/>
      </c>
      <c r="H28" t="inlineStr">
        <is>
          <t>✓</t>
        </is>
      </c>
    </row>
    <row r="29">
      <c r="A29" t="inlineStr">
        <is>
          <t>R Pericalcarine</t>
        </is>
      </c>
      <c r="B29" t="n">
        <v>-2.91</v>
      </c>
      <c r="C29" t="n">
        <v>786</v>
      </c>
      <c r="D29">
        <f> 0.004</f>
        <v/>
      </c>
      <c r="E29" t="n">
        <v>-0.21</v>
      </c>
      <c r="F29" t="inlineStr">
        <is>
          <t>[-0.35, -0.07]</t>
        </is>
      </c>
      <c r="G29">
        <f> 0.021</f>
        <v/>
      </c>
      <c r="H29" t="inlineStr">
        <is>
          <t>✓</t>
        </is>
      </c>
    </row>
    <row r="30">
      <c r="A30" t="inlineStr">
        <is>
          <t>R Postcentral</t>
        </is>
      </c>
      <c r="B30" t="n">
        <v>-2.86</v>
      </c>
      <c r="C30" t="n">
        <v>786</v>
      </c>
      <c r="D30">
        <f> 0.004</f>
        <v/>
      </c>
      <c r="E30" t="n">
        <v>-0.2</v>
      </c>
      <c r="F30" t="inlineStr">
        <is>
          <t>[-0.34, -0.06]</t>
        </is>
      </c>
      <c r="G30">
        <f> 0.021</f>
        <v/>
      </c>
      <c r="H30" t="inlineStr">
        <is>
          <t>✓</t>
        </is>
      </c>
    </row>
    <row r="31">
      <c r="A31" t="inlineStr">
        <is>
          <t>R Precentral</t>
        </is>
      </c>
      <c r="B31" t="n">
        <v>-2.93</v>
      </c>
      <c r="C31" t="n">
        <v>786</v>
      </c>
      <c r="D31">
        <f> 0.003</f>
        <v/>
      </c>
      <c r="E31" t="n">
        <v>-0.21</v>
      </c>
      <c r="F31" t="inlineStr">
        <is>
          <t>[-0.35, -0.07]</t>
        </is>
      </c>
      <c r="G31">
        <f> 0.021</f>
        <v/>
      </c>
      <c r="H31" t="inlineStr">
        <is>
          <t>✓</t>
        </is>
      </c>
    </row>
    <row r="32">
      <c r="A32" t="inlineStr">
        <is>
          <t>R Rostralmiddlefrontal</t>
        </is>
      </c>
      <c r="B32" t="n">
        <v>-2.94</v>
      </c>
      <c r="C32" t="n">
        <v>786</v>
      </c>
      <c r="D32">
        <f> 0.003</f>
        <v/>
      </c>
      <c r="E32" t="n">
        <v>-0.21</v>
      </c>
      <c r="F32" t="inlineStr">
        <is>
          <t>[-0.35, -0.07]</t>
        </is>
      </c>
      <c r="G32">
        <f> 0.021</f>
        <v/>
      </c>
      <c r="H32" t="inlineStr">
        <is>
          <t>✓</t>
        </is>
      </c>
    </row>
    <row r="33">
      <c r="A33" t="inlineStr">
        <is>
          <t>R Superiorfrontal</t>
        </is>
      </c>
      <c r="B33" t="n">
        <v>-3.93</v>
      </c>
      <c r="C33" t="n">
        <v>786</v>
      </c>
      <c r="D33" t="inlineStr">
        <is>
          <t>&lt; .001</t>
        </is>
      </c>
      <c r="E33" t="n">
        <v>-0.28</v>
      </c>
      <c r="F33" t="inlineStr">
        <is>
          <t>[-0.42, -0.14]</t>
        </is>
      </c>
      <c r="G33">
        <f> 0.003</f>
        <v/>
      </c>
      <c r="H33" t="inlineStr">
        <is>
          <t>✓</t>
        </is>
      </c>
    </row>
    <row r="34">
      <c r="A34" t="inlineStr">
        <is>
          <t>R Superiorparietal</t>
        </is>
      </c>
      <c r="B34" t="n">
        <v>-2.39</v>
      </c>
      <c r="C34" t="n">
        <v>786</v>
      </c>
      <c r="D34">
        <f> 0.017</f>
        <v/>
      </c>
      <c r="E34" t="n">
        <v>-0.17</v>
      </c>
      <c r="F34" t="inlineStr">
        <is>
          <t>[-0.31, -0.03]</t>
        </is>
      </c>
      <c r="G34">
        <f> 0.035</f>
        <v/>
      </c>
      <c r="H34" t="inlineStr">
        <is>
          <t>✓</t>
        </is>
      </c>
    </row>
    <row r="35">
      <c r="A35" t="inlineStr">
        <is>
          <t>R Superiortemporal</t>
        </is>
      </c>
      <c r="B35" t="n">
        <v>-2.85</v>
      </c>
      <c r="C35" t="n">
        <v>786</v>
      </c>
      <c r="D35">
        <f> 0.004</f>
        <v/>
      </c>
      <c r="E35" t="n">
        <v>-0.2</v>
      </c>
      <c r="F35" t="inlineStr">
        <is>
          <t>[-0.34, -0.06]</t>
        </is>
      </c>
      <c r="G35">
        <f> 0.021</f>
        <v/>
      </c>
      <c r="H35" t="inlineStr">
        <is>
          <t>✓</t>
        </is>
      </c>
    </row>
    <row r="36">
      <c r="A36" t="inlineStr">
        <is>
          <t>R Supramarginal</t>
        </is>
      </c>
      <c r="B36" t="n">
        <v>-4.05</v>
      </c>
      <c r="C36" t="n">
        <v>786</v>
      </c>
      <c r="D36" t="inlineStr">
        <is>
          <t>&lt; .001</t>
        </is>
      </c>
      <c r="E36" t="n">
        <v>-0.29</v>
      </c>
      <c r="F36" t="inlineStr">
        <is>
          <t>[-0.43, -0.15]</t>
        </is>
      </c>
      <c r="G36">
        <f> 0.003</f>
        <v/>
      </c>
      <c r="H36" t="inlineStr">
        <is>
          <t>✓</t>
        </is>
      </c>
    </row>
    <row r="37">
      <c r="A37" t="inlineStr">
        <is>
          <t>R Frontalpole</t>
        </is>
      </c>
      <c r="B37" t="n">
        <v>-2.45</v>
      </c>
      <c r="C37" t="n">
        <v>786</v>
      </c>
      <c r="D37">
        <f> 0.015</f>
        <v/>
      </c>
      <c r="E37" t="n">
        <v>-0.17</v>
      </c>
      <c r="F37" t="inlineStr">
        <is>
          <t>[-0.31, -0.03]</t>
        </is>
      </c>
      <c r="G37">
        <f> 0.032</f>
        <v/>
      </c>
      <c r="H37" t="inlineStr">
        <is>
          <t>✓</t>
        </is>
      </c>
    </row>
    <row r="38">
      <c r="A38" t="inlineStr">
        <is>
          <t>R Temporalpole</t>
        </is>
      </c>
      <c r="B38" t="n">
        <v>-2.51</v>
      </c>
      <c r="C38" t="n">
        <v>786</v>
      </c>
      <c r="D38">
        <f> 0.012</f>
        <v/>
      </c>
      <c r="E38" t="n">
        <v>-0.18</v>
      </c>
      <c r="F38" t="inlineStr">
        <is>
          <t>[-0.32, -0.04]</t>
        </is>
      </c>
      <c r="G38">
        <f> 0.029</f>
        <v/>
      </c>
      <c r="H38" t="inlineStr">
        <is>
          <t>✓</t>
        </is>
      </c>
    </row>
    <row r="39">
      <c r="A39" t="inlineStr">
        <is>
          <t>R Transversetemporal</t>
        </is>
      </c>
      <c r="B39" t="n">
        <v>-2.55</v>
      </c>
      <c r="C39" t="n">
        <v>786</v>
      </c>
      <c r="D39">
        <f> 0.011</f>
        <v/>
      </c>
      <c r="E39" t="n">
        <v>-0.18</v>
      </c>
      <c r="F39" t="inlineStr">
        <is>
          <t>[-0.32, -0.04]</t>
        </is>
      </c>
      <c r="G39">
        <f> 0.028</f>
        <v/>
      </c>
      <c r="H39" t="inlineStr">
        <is>
          <t>✓</t>
        </is>
      </c>
    </row>
    <row r="40">
      <c r="A40" t="inlineStr">
        <is>
          <t>R Insula</t>
        </is>
      </c>
      <c r="B40" t="n">
        <v>-2.23</v>
      </c>
      <c r="C40" t="n">
        <v>786</v>
      </c>
      <c r="D40">
        <f> 0.026</f>
        <v/>
      </c>
      <c r="E40" t="n">
        <v>-0.16</v>
      </c>
      <c r="F40" t="inlineStr">
        <is>
          <t>[-0.30, -0.02]</t>
        </is>
      </c>
      <c r="G40">
        <f> 0.047</f>
        <v/>
      </c>
      <c r="H40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Pearson r (age_open × cortical thickness). FDR correction: Benjamini–Hochberg (q&lt;.05). 95% CI via Fisher z-transform.</t>
        </is>
      </c>
    </row>
    <row r="3">
      <c r="A3" s="1" t="inlineStr">
        <is>
          <t>ROI</t>
        </is>
      </c>
      <c r="B3" s="1" t="inlineStr">
        <is>
          <t>r</t>
        </is>
      </c>
      <c r="C3" s="1" t="inlineStr">
        <is>
          <t>n</t>
        </is>
      </c>
      <c r="D3" s="1" t="inlineStr">
        <is>
          <t>p</t>
        </is>
      </c>
      <c r="E3" s="1" t="inlineStr">
        <is>
          <t>95% CI [r]</t>
        </is>
      </c>
      <c r="F3" s="1" t="inlineStr">
        <is>
          <t>p_FDR</t>
        </is>
      </c>
      <c r="G3" s="1" t="inlineStr">
        <is>
          <t>FDR sig.</t>
        </is>
      </c>
    </row>
    <row r="4">
      <c r="A4" t="inlineStr">
        <is>
          <t>R_V1_ROI</t>
        </is>
      </c>
      <c r="B4" t="n">
        <v>-0.532</v>
      </c>
      <c r="C4" t="n">
        <v>1150</v>
      </c>
      <c r="D4" t="inlineStr">
        <is>
          <t>&lt; .001</t>
        </is>
      </c>
      <c r="E4" t="inlineStr">
        <is>
          <t>[-0.572, -0.489]</t>
        </is>
      </c>
      <c r="F4" t="inlineStr">
        <is>
          <t>&lt; .001</t>
        </is>
      </c>
      <c r="G4" t="inlineStr">
        <is>
          <t>✓</t>
        </is>
      </c>
    </row>
    <row r="5">
      <c r="A5" t="inlineStr">
        <is>
          <t>R_MST_ROI</t>
        </is>
      </c>
      <c r="B5" t="n">
        <v>-0.546</v>
      </c>
      <c r="C5" t="n">
        <v>1150</v>
      </c>
      <c r="D5" t="inlineStr">
        <is>
          <t>&lt; .001</t>
        </is>
      </c>
      <c r="E5" t="inlineStr">
        <is>
          <t>[-0.586, -0.504]</t>
        </is>
      </c>
      <c r="F5" t="inlineStr">
        <is>
          <t>&lt; .001</t>
        </is>
      </c>
      <c r="G5" t="inlineStr">
        <is>
          <t>✓</t>
        </is>
      </c>
    </row>
    <row r="6">
      <c r="A6" t="inlineStr">
        <is>
          <t>R_V6_ROI</t>
        </is>
      </c>
      <c r="B6" t="n">
        <v>-0.52</v>
      </c>
      <c r="C6" t="n">
        <v>1150</v>
      </c>
      <c r="D6" t="inlineStr">
        <is>
          <t>&lt; .001</t>
        </is>
      </c>
      <c r="E6" t="inlineStr">
        <is>
          <t>[-0.561, -0.477]</t>
        </is>
      </c>
      <c r="F6" t="inlineStr">
        <is>
          <t>&lt; .001</t>
        </is>
      </c>
      <c r="G6" t="inlineStr">
        <is>
          <t>✓</t>
        </is>
      </c>
    </row>
    <row r="7">
      <c r="A7" t="inlineStr">
        <is>
          <t>R_V2_ROI</t>
        </is>
      </c>
      <c r="B7" t="n">
        <v>-0.437</v>
      </c>
      <c r="C7" t="n">
        <v>1150</v>
      </c>
      <c r="D7" t="inlineStr">
        <is>
          <t>&lt; .001</t>
        </is>
      </c>
      <c r="E7" t="inlineStr">
        <is>
          <t>[-0.482, -0.389]</t>
        </is>
      </c>
      <c r="F7" t="inlineStr">
        <is>
          <t>&lt; .001</t>
        </is>
      </c>
      <c r="G7" t="inlineStr">
        <is>
          <t>✓</t>
        </is>
      </c>
    </row>
    <row r="8">
      <c r="A8" t="inlineStr">
        <is>
          <t>R_V3_ROI</t>
        </is>
      </c>
      <c r="B8" t="n">
        <v>-0.519</v>
      </c>
      <c r="C8" t="n">
        <v>1150</v>
      </c>
      <c r="D8" t="inlineStr">
        <is>
          <t>&lt; .001</t>
        </is>
      </c>
      <c r="E8" t="inlineStr">
        <is>
          <t>[-0.560, -0.475]</t>
        </is>
      </c>
      <c r="F8" t="inlineStr">
        <is>
          <t>&lt; .001</t>
        </is>
      </c>
      <c r="G8" t="inlineStr">
        <is>
          <t>✓</t>
        </is>
      </c>
    </row>
    <row r="9">
      <c r="A9" t="inlineStr">
        <is>
          <t>R_V4_ROI</t>
        </is>
      </c>
      <c r="B9" t="n">
        <v>-0.5669999999999999</v>
      </c>
      <c r="C9" t="n">
        <v>1150</v>
      </c>
      <c r="D9" t="inlineStr">
        <is>
          <t>&lt; .001</t>
        </is>
      </c>
      <c r="E9" t="inlineStr">
        <is>
          <t>[-0.605, -0.526]</t>
        </is>
      </c>
      <c r="F9" t="inlineStr">
        <is>
          <t>&lt; .001</t>
        </is>
      </c>
      <c r="G9" t="inlineStr">
        <is>
          <t>✓</t>
        </is>
      </c>
    </row>
    <row r="10">
      <c r="A10" t="inlineStr">
        <is>
          <t>R_V8_ROI</t>
        </is>
      </c>
      <c r="B10" t="n">
        <v>-0.332</v>
      </c>
      <c r="C10" t="n">
        <v>1150</v>
      </c>
      <c r="D10" t="inlineStr">
        <is>
          <t>&lt; .001</t>
        </is>
      </c>
      <c r="E10" t="inlineStr">
        <is>
          <t>[-0.382, -0.279]</t>
        </is>
      </c>
      <c r="F10" t="inlineStr">
        <is>
          <t>&lt; .001</t>
        </is>
      </c>
      <c r="G10" t="inlineStr">
        <is>
          <t>✓</t>
        </is>
      </c>
    </row>
    <row r="11">
      <c r="A11" t="inlineStr">
        <is>
          <t>R_4_ROI</t>
        </is>
      </c>
      <c r="B11" t="n">
        <v>-0.6929999999999999</v>
      </c>
      <c r="C11" t="n">
        <v>1150</v>
      </c>
      <c r="D11" t="inlineStr">
        <is>
          <t>&lt; .001</t>
        </is>
      </c>
      <c r="E11" t="inlineStr">
        <is>
          <t>[-0.722, -0.661]</t>
        </is>
      </c>
      <c r="F11" t="inlineStr">
        <is>
          <t>&lt; .001</t>
        </is>
      </c>
      <c r="G11" t="inlineStr">
        <is>
          <t>✓</t>
        </is>
      </c>
    </row>
    <row r="12">
      <c r="A12" t="inlineStr">
        <is>
          <t>R_3b_ROI</t>
        </is>
      </c>
      <c r="B12" t="n">
        <v>-0.52</v>
      </c>
      <c r="C12" t="n">
        <v>1150</v>
      </c>
      <c r="D12" t="inlineStr">
        <is>
          <t>&lt; .001</t>
        </is>
      </c>
      <c r="E12" t="inlineStr">
        <is>
          <t>[-0.561, -0.476]</t>
        </is>
      </c>
      <c r="F12" t="inlineStr">
        <is>
          <t>&lt; .001</t>
        </is>
      </c>
      <c r="G12" t="inlineStr">
        <is>
          <t>✓</t>
        </is>
      </c>
    </row>
    <row r="13">
      <c r="A13" t="inlineStr">
        <is>
          <t>R_FEF_ROI</t>
        </is>
      </c>
      <c r="B13" t="n">
        <v>-0.661</v>
      </c>
      <c r="C13" t="n">
        <v>1150</v>
      </c>
      <c r="D13" t="inlineStr">
        <is>
          <t>&lt; .001</t>
        </is>
      </c>
      <c r="E13" t="inlineStr">
        <is>
          <t>[-0.693, -0.628]</t>
        </is>
      </c>
      <c r="F13" t="inlineStr">
        <is>
          <t>&lt; .001</t>
        </is>
      </c>
      <c r="G13" t="inlineStr">
        <is>
          <t>✓</t>
        </is>
      </c>
    </row>
    <row r="14">
      <c r="A14" t="inlineStr">
        <is>
          <t>R_PEF_ROI</t>
        </is>
      </c>
      <c r="B14" t="n">
        <v>-0.538</v>
      </c>
      <c r="C14" t="n">
        <v>1150</v>
      </c>
      <c r="D14" t="inlineStr">
        <is>
          <t>&lt; .001</t>
        </is>
      </c>
      <c r="E14" t="inlineStr">
        <is>
          <t>[-0.578, -0.496]</t>
        </is>
      </c>
      <c r="F14" t="inlineStr">
        <is>
          <t>&lt; .001</t>
        </is>
      </c>
      <c r="G14" t="inlineStr">
        <is>
          <t>✓</t>
        </is>
      </c>
    </row>
    <row r="15">
      <c r="A15" t="inlineStr">
        <is>
          <t>R_55b_ROI</t>
        </is>
      </c>
      <c r="B15" t="n">
        <v>-0.592</v>
      </c>
      <c r="C15" t="n">
        <v>1150</v>
      </c>
      <c r="D15" t="inlineStr">
        <is>
          <t>&lt; .001</t>
        </is>
      </c>
      <c r="E15" t="inlineStr">
        <is>
          <t>[-0.629, -0.554]</t>
        </is>
      </c>
      <c r="F15" t="inlineStr">
        <is>
          <t>&lt; .001</t>
        </is>
      </c>
      <c r="G15" t="inlineStr">
        <is>
          <t>✓</t>
        </is>
      </c>
    </row>
    <row r="16">
      <c r="A16" t="inlineStr">
        <is>
          <t>R_V3A_ROI</t>
        </is>
      </c>
      <c r="B16" t="n">
        <v>-0.54</v>
      </c>
      <c r="C16" t="n">
        <v>1150</v>
      </c>
      <c r="D16" t="inlineStr">
        <is>
          <t>&lt; .001</t>
        </is>
      </c>
      <c r="E16" t="inlineStr">
        <is>
          <t>[-0.579, -0.497]</t>
        </is>
      </c>
      <c r="F16" t="inlineStr">
        <is>
          <t>&lt; .001</t>
        </is>
      </c>
      <c r="G16" t="inlineStr">
        <is>
          <t>✓</t>
        </is>
      </c>
    </row>
    <row r="17">
      <c r="A17" t="inlineStr">
        <is>
          <t>R_RSC_ROI</t>
        </is>
      </c>
      <c r="B17" t="n">
        <v>-0.451</v>
      </c>
      <c r="C17" t="n">
        <v>1150</v>
      </c>
      <c r="D17" t="inlineStr">
        <is>
          <t>&lt; .001</t>
        </is>
      </c>
      <c r="E17" t="inlineStr">
        <is>
          <t>[-0.496, -0.404]</t>
        </is>
      </c>
      <c r="F17" t="inlineStr">
        <is>
          <t>&lt; .001</t>
        </is>
      </c>
      <c r="G17" t="inlineStr">
        <is>
          <t>✓</t>
        </is>
      </c>
    </row>
    <row r="18">
      <c r="A18" t="inlineStr">
        <is>
          <t>R_POS2_ROI</t>
        </is>
      </c>
      <c r="B18" t="n">
        <v>-0.569</v>
      </c>
      <c r="C18" t="n">
        <v>1150</v>
      </c>
      <c r="D18" t="inlineStr">
        <is>
          <t>&lt; .001</t>
        </is>
      </c>
      <c r="E18" t="inlineStr">
        <is>
          <t>[-0.607, -0.529]</t>
        </is>
      </c>
      <c r="F18" t="inlineStr">
        <is>
          <t>&lt; .001</t>
        </is>
      </c>
      <c r="G18" t="inlineStr">
        <is>
          <t>✓</t>
        </is>
      </c>
    </row>
    <row r="19">
      <c r="A19" t="inlineStr">
        <is>
          <t>R_V7_ROI</t>
        </is>
      </c>
      <c r="B19" t="n">
        <v>-0.443</v>
      </c>
      <c r="C19" t="n">
        <v>1150</v>
      </c>
      <c r="D19" t="inlineStr">
        <is>
          <t>&lt; .001</t>
        </is>
      </c>
      <c r="E19" t="inlineStr">
        <is>
          <t>[-0.488, -0.396]</t>
        </is>
      </c>
      <c r="F19" t="inlineStr">
        <is>
          <t>&lt; .001</t>
        </is>
      </c>
      <c r="G19" t="inlineStr">
        <is>
          <t>✓</t>
        </is>
      </c>
    </row>
    <row r="20">
      <c r="A20" t="inlineStr">
        <is>
          <t>R_IPS1_ROI</t>
        </is>
      </c>
      <c r="B20" t="n">
        <v>-0.494</v>
      </c>
      <c r="C20" t="n">
        <v>1150</v>
      </c>
      <c r="D20" t="inlineStr">
        <is>
          <t>&lt; .001</t>
        </is>
      </c>
      <c r="E20" t="inlineStr">
        <is>
          <t>[-0.536, -0.449]</t>
        </is>
      </c>
      <c r="F20" t="inlineStr">
        <is>
          <t>&lt; .001</t>
        </is>
      </c>
      <c r="G20" t="inlineStr">
        <is>
          <t>✓</t>
        </is>
      </c>
    </row>
    <row r="21">
      <c r="A21" t="inlineStr">
        <is>
          <t>R_FFC_ROI</t>
        </is>
      </c>
      <c r="B21" t="n">
        <v>-0.338</v>
      </c>
      <c r="C21" t="n">
        <v>1150</v>
      </c>
      <c r="D21" t="inlineStr">
        <is>
          <t>&lt; .001</t>
        </is>
      </c>
      <c r="E21" t="inlineStr">
        <is>
          <t>[-0.388, -0.286]</t>
        </is>
      </c>
      <c r="F21" t="inlineStr">
        <is>
          <t>&lt; .001</t>
        </is>
      </c>
      <c r="G21" t="inlineStr">
        <is>
          <t>✓</t>
        </is>
      </c>
    </row>
    <row r="22">
      <c r="A22" t="inlineStr">
        <is>
          <t>R_V3B_ROI</t>
        </is>
      </c>
      <c r="B22" t="n">
        <v>-0.5570000000000001</v>
      </c>
      <c r="C22" t="n">
        <v>1150</v>
      </c>
      <c r="D22" t="inlineStr">
        <is>
          <t>&lt; .001</t>
        </is>
      </c>
      <c r="E22" t="inlineStr">
        <is>
          <t>[-0.596, -0.516]</t>
        </is>
      </c>
      <c r="F22" t="inlineStr">
        <is>
          <t>&lt; .001</t>
        </is>
      </c>
      <c r="G22" t="inlineStr">
        <is>
          <t>✓</t>
        </is>
      </c>
    </row>
    <row r="23">
      <c r="A23" t="inlineStr">
        <is>
          <t>R_LO1_ROI</t>
        </is>
      </c>
      <c r="B23" t="n">
        <v>-0.442</v>
      </c>
      <c r="C23" t="n">
        <v>1150</v>
      </c>
      <c r="D23" t="inlineStr">
        <is>
          <t>&lt; .001</t>
        </is>
      </c>
      <c r="E23" t="inlineStr">
        <is>
          <t>[-0.487, -0.394]</t>
        </is>
      </c>
      <c r="F23" t="inlineStr">
        <is>
          <t>&lt; .001</t>
        </is>
      </c>
      <c r="G23" t="inlineStr">
        <is>
          <t>✓</t>
        </is>
      </c>
    </row>
    <row r="24">
      <c r="A24" t="inlineStr">
        <is>
          <t>R_LO2_ROI</t>
        </is>
      </c>
      <c r="B24" t="n">
        <v>-0.315</v>
      </c>
      <c r="C24" t="n">
        <v>1150</v>
      </c>
      <c r="D24" t="inlineStr">
        <is>
          <t>&lt; .001</t>
        </is>
      </c>
      <c r="E24" t="inlineStr">
        <is>
          <t>[-0.366, -0.262]</t>
        </is>
      </c>
      <c r="F24" t="inlineStr">
        <is>
          <t>&lt; .001</t>
        </is>
      </c>
      <c r="G24" t="inlineStr">
        <is>
          <t>✓</t>
        </is>
      </c>
    </row>
    <row r="25">
      <c r="A25" t="inlineStr">
        <is>
          <t>R_PIT_ROI</t>
        </is>
      </c>
      <c r="B25" t="n">
        <v>-0.297</v>
      </c>
      <c r="C25" t="n">
        <v>1150</v>
      </c>
      <c r="D25" t="inlineStr">
        <is>
          <t>&lt; .001</t>
        </is>
      </c>
      <c r="E25" t="inlineStr">
        <is>
          <t>[-0.349, -0.244]</t>
        </is>
      </c>
      <c r="F25" t="inlineStr">
        <is>
          <t>&lt; .001</t>
        </is>
      </c>
      <c r="G25" t="inlineStr">
        <is>
          <t>✓</t>
        </is>
      </c>
    </row>
    <row r="26">
      <c r="A26" t="inlineStr">
        <is>
          <t>R_MT_ROI</t>
        </is>
      </c>
      <c r="B26" t="n">
        <v>-0.456</v>
      </c>
      <c r="C26" t="n">
        <v>1150</v>
      </c>
      <c r="D26" t="inlineStr">
        <is>
          <t>&lt; .001</t>
        </is>
      </c>
      <c r="E26" t="inlineStr">
        <is>
          <t>[-0.501, -0.409]</t>
        </is>
      </c>
      <c r="F26" t="inlineStr">
        <is>
          <t>&lt; .001</t>
        </is>
      </c>
      <c r="G26" t="inlineStr">
        <is>
          <t>✓</t>
        </is>
      </c>
    </row>
    <row r="27">
      <c r="A27" t="inlineStr">
        <is>
          <t>R_A1_ROI</t>
        </is>
      </c>
      <c r="B27" t="n">
        <v>-0.577</v>
      </c>
      <c r="C27" t="n">
        <v>1150</v>
      </c>
      <c r="D27" t="inlineStr">
        <is>
          <t>&lt; .001</t>
        </is>
      </c>
      <c r="E27" t="inlineStr">
        <is>
          <t>[-0.614, -0.537]</t>
        </is>
      </c>
      <c r="F27" t="inlineStr">
        <is>
          <t>&lt; .001</t>
        </is>
      </c>
      <c r="G27" t="inlineStr">
        <is>
          <t>✓</t>
        </is>
      </c>
    </row>
    <row r="28">
      <c r="A28" t="inlineStr">
        <is>
          <t>R_PSL_ROI</t>
        </is>
      </c>
      <c r="B28" t="n">
        <v>-0.587</v>
      </c>
      <c r="C28" t="n">
        <v>1150</v>
      </c>
      <c r="D28" t="inlineStr">
        <is>
          <t>&lt; .001</t>
        </is>
      </c>
      <c r="E28" t="inlineStr">
        <is>
          <t>[-0.624, -0.548]</t>
        </is>
      </c>
      <c r="F28" t="inlineStr">
        <is>
          <t>&lt; .001</t>
        </is>
      </c>
      <c r="G28" t="inlineStr">
        <is>
          <t>✓</t>
        </is>
      </c>
    </row>
    <row r="29">
      <c r="A29" t="inlineStr">
        <is>
          <t>R_SFL_ROI</t>
        </is>
      </c>
      <c r="B29" t="n">
        <v>-0.5600000000000001</v>
      </c>
      <c r="C29" t="n">
        <v>1150</v>
      </c>
      <c r="D29" t="inlineStr">
        <is>
          <t>&lt; .001</t>
        </is>
      </c>
      <c r="E29" t="inlineStr">
        <is>
          <t>[-0.598, -0.519]</t>
        </is>
      </c>
      <c r="F29" t="inlineStr">
        <is>
          <t>&lt; .001</t>
        </is>
      </c>
      <c r="G29" t="inlineStr">
        <is>
          <t>✓</t>
        </is>
      </c>
    </row>
    <row r="30">
      <c r="A30" t="inlineStr">
        <is>
          <t>R_PCV_ROI</t>
        </is>
      </c>
      <c r="B30" t="n">
        <v>-0.444</v>
      </c>
      <c r="C30" t="n">
        <v>1150</v>
      </c>
      <c r="D30" t="inlineStr">
        <is>
          <t>&lt; .001</t>
        </is>
      </c>
      <c r="E30" t="inlineStr">
        <is>
          <t>[-0.489, -0.396]</t>
        </is>
      </c>
      <c r="F30" t="inlineStr">
        <is>
          <t>&lt; .001</t>
        </is>
      </c>
      <c r="G30" t="inlineStr">
        <is>
          <t>✓</t>
        </is>
      </c>
    </row>
    <row r="31">
      <c r="A31" t="inlineStr">
        <is>
          <t>R_STV_ROI</t>
        </is>
      </c>
      <c r="B31" t="n">
        <v>-0.589</v>
      </c>
      <c r="C31" t="n">
        <v>1150</v>
      </c>
      <c r="D31" t="inlineStr">
        <is>
          <t>&lt; .001</t>
        </is>
      </c>
      <c r="E31" t="inlineStr">
        <is>
          <t>[-0.626, -0.550]</t>
        </is>
      </c>
      <c r="F31" t="inlineStr">
        <is>
          <t>&lt; .001</t>
        </is>
      </c>
      <c r="G31" t="inlineStr">
        <is>
          <t>✓</t>
        </is>
      </c>
    </row>
    <row r="32">
      <c r="A32" t="inlineStr">
        <is>
          <t>R_7Pm_ROI</t>
        </is>
      </c>
      <c r="B32" t="n">
        <v>-0.396</v>
      </c>
      <c r="C32" t="n">
        <v>1150</v>
      </c>
      <c r="D32" t="inlineStr">
        <is>
          <t>&lt; .001</t>
        </is>
      </c>
      <c r="E32" t="inlineStr">
        <is>
          <t>[-0.443, -0.346]</t>
        </is>
      </c>
      <c r="F32" t="inlineStr">
        <is>
          <t>&lt; .001</t>
        </is>
      </c>
      <c r="G32" t="inlineStr">
        <is>
          <t>✓</t>
        </is>
      </c>
    </row>
    <row r="33">
      <c r="A33" t="inlineStr">
        <is>
          <t>R_7m_ROI</t>
        </is>
      </c>
      <c r="B33" t="n">
        <v>-0.464</v>
      </c>
      <c r="C33" t="n">
        <v>1150</v>
      </c>
      <c r="D33" t="inlineStr">
        <is>
          <t>&lt; .001</t>
        </is>
      </c>
      <c r="E33" t="inlineStr">
        <is>
          <t>[-0.508, -0.418]</t>
        </is>
      </c>
      <c r="F33" t="inlineStr">
        <is>
          <t>&lt; .001</t>
        </is>
      </c>
      <c r="G33" t="inlineStr">
        <is>
          <t>✓</t>
        </is>
      </c>
    </row>
    <row r="34">
      <c r="A34" t="inlineStr">
        <is>
          <t>R_POS1_ROI</t>
        </is>
      </c>
      <c r="B34" t="n">
        <v>-0.597</v>
      </c>
      <c r="C34" t="n">
        <v>1150</v>
      </c>
      <c r="D34" t="inlineStr">
        <is>
          <t>&lt; .001</t>
        </is>
      </c>
      <c r="E34" t="inlineStr">
        <is>
          <t>[-0.633, -0.558]</t>
        </is>
      </c>
      <c r="F34" t="inlineStr">
        <is>
          <t>&lt; .001</t>
        </is>
      </c>
      <c r="G34" t="inlineStr">
        <is>
          <t>✓</t>
        </is>
      </c>
    </row>
    <row r="35">
      <c r="A35" t="inlineStr">
        <is>
          <t>R_23d_ROI</t>
        </is>
      </c>
      <c r="B35" t="n">
        <v>-0.54</v>
      </c>
      <c r="C35" t="n">
        <v>1150</v>
      </c>
      <c r="D35" t="inlineStr">
        <is>
          <t>&lt; .001</t>
        </is>
      </c>
      <c r="E35" t="inlineStr">
        <is>
          <t>[-0.580, -0.498]</t>
        </is>
      </c>
      <c r="F35" t="inlineStr">
        <is>
          <t>&lt; .001</t>
        </is>
      </c>
      <c r="G35" t="inlineStr">
        <is>
          <t>✓</t>
        </is>
      </c>
    </row>
    <row r="36">
      <c r="A36" t="inlineStr">
        <is>
          <t>R_v23ab_ROI</t>
        </is>
      </c>
      <c r="B36" t="n">
        <v>-0.506</v>
      </c>
      <c r="C36" t="n">
        <v>1150</v>
      </c>
      <c r="D36" t="inlineStr">
        <is>
          <t>&lt; .001</t>
        </is>
      </c>
      <c r="E36" t="inlineStr">
        <is>
          <t>[-0.548, -0.462]</t>
        </is>
      </c>
      <c r="F36" t="inlineStr">
        <is>
          <t>&lt; .001</t>
        </is>
      </c>
      <c r="G36" t="inlineStr">
        <is>
          <t>✓</t>
        </is>
      </c>
    </row>
    <row r="37">
      <c r="A37" t="inlineStr">
        <is>
          <t>R_d23ab_ROI</t>
        </is>
      </c>
      <c r="B37" t="n">
        <v>-0.521</v>
      </c>
      <c r="C37" t="n">
        <v>1150</v>
      </c>
      <c r="D37" t="inlineStr">
        <is>
          <t>&lt; .001</t>
        </is>
      </c>
      <c r="E37" t="inlineStr">
        <is>
          <t>[-0.561, -0.477]</t>
        </is>
      </c>
      <c r="F37" t="inlineStr">
        <is>
          <t>&lt; .001</t>
        </is>
      </c>
      <c r="G37" t="inlineStr">
        <is>
          <t>✓</t>
        </is>
      </c>
    </row>
    <row r="38">
      <c r="A38" t="inlineStr">
        <is>
          <t>R_31pv_ROI</t>
        </is>
      </c>
      <c r="B38" t="n">
        <v>-0.533</v>
      </c>
      <c r="C38" t="n">
        <v>1150</v>
      </c>
      <c r="D38" t="inlineStr">
        <is>
          <t>&lt; .001</t>
        </is>
      </c>
      <c r="E38" t="inlineStr">
        <is>
          <t>[-0.573, -0.490]</t>
        </is>
      </c>
      <c r="F38" t="inlineStr">
        <is>
          <t>&lt; .001</t>
        </is>
      </c>
      <c r="G38" t="inlineStr">
        <is>
          <t>✓</t>
        </is>
      </c>
    </row>
    <row r="39">
      <c r="A39" t="inlineStr">
        <is>
          <t>R_5m_ROI</t>
        </is>
      </c>
      <c r="B39" t="n">
        <v>-0.454</v>
      </c>
      <c r="C39" t="n">
        <v>1150</v>
      </c>
      <c r="D39" t="inlineStr">
        <is>
          <t>&lt; .001</t>
        </is>
      </c>
      <c r="E39" t="inlineStr">
        <is>
          <t>[-0.499, -0.407]</t>
        </is>
      </c>
      <c r="F39" t="inlineStr">
        <is>
          <t>&lt; .001</t>
        </is>
      </c>
      <c r="G39" t="inlineStr">
        <is>
          <t>✓</t>
        </is>
      </c>
    </row>
    <row r="40">
      <c r="A40" t="inlineStr">
        <is>
          <t>R_5mv_ROI</t>
        </is>
      </c>
      <c r="B40" t="n">
        <v>-0.484</v>
      </c>
      <c r="C40" t="n">
        <v>1150</v>
      </c>
      <c r="D40" t="inlineStr">
        <is>
          <t>&lt; .001</t>
        </is>
      </c>
      <c r="E40" t="inlineStr">
        <is>
          <t>[-0.527, -0.438]</t>
        </is>
      </c>
      <c r="F40" t="inlineStr">
        <is>
          <t>&lt; .001</t>
        </is>
      </c>
      <c r="G40" t="inlineStr">
        <is>
          <t>✓</t>
        </is>
      </c>
    </row>
    <row r="41">
      <c r="A41" t="inlineStr">
        <is>
          <t>R_23c_ROI</t>
        </is>
      </c>
      <c r="B41" t="n">
        <v>-0.553</v>
      </c>
      <c r="C41" t="n">
        <v>1150</v>
      </c>
      <c r="D41" t="inlineStr">
        <is>
          <t>&lt; .001</t>
        </is>
      </c>
      <c r="E41" t="inlineStr">
        <is>
          <t>[-0.591, -0.511]</t>
        </is>
      </c>
      <c r="F41" t="inlineStr">
        <is>
          <t>&lt; .001</t>
        </is>
      </c>
      <c r="G41" t="inlineStr">
        <is>
          <t>✓</t>
        </is>
      </c>
    </row>
    <row r="42">
      <c r="A42" t="inlineStr">
        <is>
          <t>R_5L_ROI</t>
        </is>
      </c>
      <c r="B42" t="n">
        <v>-0.415</v>
      </c>
      <c r="C42" t="n">
        <v>1150</v>
      </c>
      <c r="D42" t="inlineStr">
        <is>
          <t>&lt; .001</t>
        </is>
      </c>
      <c r="E42" t="inlineStr">
        <is>
          <t>[-0.462, -0.366]</t>
        </is>
      </c>
      <c r="F42" t="inlineStr">
        <is>
          <t>&lt; .001</t>
        </is>
      </c>
      <c r="G42" t="inlineStr">
        <is>
          <t>✓</t>
        </is>
      </c>
    </row>
    <row r="43">
      <c r="A43" t="inlineStr">
        <is>
          <t>R_24dd_ROI</t>
        </is>
      </c>
      <c r="B43" t="n">
        <v>-0.637</v>
      </c>
      <c r="C43" t="n">
        <v>1150</v>
      </c>
      <c r="D43" t="inlineStr">
        <is>
          <t>&lt; .001</t>
        </is>
      </c>
      <c r="E43" t="inlineStr">
        <is>
          <t>[-0.670, -0.601]</t>
        </is>
      </c>
      <c r="F43" t="inlineStr">
        <is>
          <t>&lt; .001</t>
        </is>
      </c>
      <c r="G43" t="inlineStr">
        <is>
          <t>✓</t>
        </is>
      </c>
    </row>
    <row r="44">
      <c r="A44" t="inlineStr">
        <is>
          <t>R_24dv_ROI</t>
        </is>
      </c>
      <c r="B44" t="n">
        <v>-0.608</v>
      </c>
      <c r="C44" t="n">
        <v>1150</v>
      </c>
      <c r="D44" t="inlineStr">
        <is>
          <t>&lt; .001</t>
        </is>
      </c>
      <c r="E44" t="inlineStr">
        <is>
          <t>[-0.643, -0.570]</t>
        </is>
      </c>
      <c r="F44" t="inlineStr">
        <is>
          <t>&lt; .001</t>
        </is>
      </c>
      <c r="G44" t="inlineStr">
        <is>
          <t>✓</t>
        </is>
      </c>
    </row>
    <row r="45">
      <c r="A45" t="inlineStr">
        <is>
          <t>R_7AL_ROI</t>
        </is>
      </c>
      <c r="B45" t="n">
        <v>-0.444</v>
      </c>
      <c r="C45" t="n">
        <v>1150</v>
      </c>
      <c r="D45" t="inlineStr">
        <is>
          <t>&lt; .001</t>
        </is>
      </c>
      <c r="E45" t="inlineStr">
        <is>
          <t>[-0.489, -0.396]</t>
        </is>
      </c>
      <c r="F45" t="inlineStr">
        <is>
          <t>&lt; .001</t>
        </is>
      </c>
      <c r="G45" t="inlineStr">
        <is>
          <t>✓</t>
        </is>
      </c>
    </row>
    <row r="46">
      <c r="A46" t="inlineStr">
        <is>
          <t>R_SCEF_ROI</t>
        </is>
      </c>
      <c r="B46" t="n">
        <v>-0.619</v>
      </c>
      <c r="C46" t="n">
        <v>1150</v>
      </c>
      <c r="D46" t="inlineStr">
        <is>
          <t>&lt; .001</t>
        </is>
      </c>
      <c r="E46" t="inlineStr">
        <is>
          <t>[-0.653, -0.582]</t>
        </is>
      </c>
      <c r="F46" t="inlineStr">
        <is>
          <t>&lt; .001</t>
        </is>
      </c>
      <c r="G46" t="inlineStr">
        <is>
          <t>✓</t>
        </is>
      </c>
    </row>
    <row r="47">
      <c r="A47" t="inlineStr">
        <is>
          <t>R_6ma_ROI</t>
        </is>
      </c>
      <c r="B47" t="n">
        <v>-0.598</v>
      </c>
      <c r="C47" t="n">
        <v>1150</v>
      </c>
      <c r="D47" t="inlineStr">
        <is>
          <t>&lt; .001</t>
        </is>
      </c>
      <c r="E47" t="inlineStr">
        <is>
          <t>[-0.634, -0.560]</t>
        </is>
      </c>
      <c r="F47" t="inlineStr">
        <is>
          <t>&lt; .001</t>
        </is>
      </c>
      <c r="G47" t="inlineStr">
        <is>
          <t>✓</t>
        </is>
      </c>
    </row>
    <row r="48">
      <c r="A48" t="inlineStr">
        <is>
          <t>R_7Am_ROI</t>
        </is>
      </c>
      <c r="B48" t="n">
        <v>-0.409</v>
      </c>
      <c r="C48" t="n">
        <v>1150</v>
      </c>
      <c r="D48" t="inlineStr">
        <is>
          <t>&lt; .001</t>
        </is>
      </c>
      <c r="E48" t="inlineStr">
        <is>
          <t>[-0.456, -0.360]</t>
        </is>
      </c>
      <c r="F48" t="inlineStr">
        <is>
          <t>&lt; .001</t>
        </is>
      </c>
      <c r="G48" t="inlineStr">
        <is>
          <t>✓</t>
        </is>
      </c>
    </row>
    <row r="49">
      <c r="A49" t="inlineStr">
        <is>
          <t>R_7PL_ROI</t>
        </is>
      </c>
      <c r="B49" t="n">
        <v>-0.468</v>
      </c>
      <c r="C49" t="n">
        <v>1150</v>
      </c>
      <c r="D49" t="inlineStr">
        <is>
          <t>&lt; .001</t>
        </is>
      </c>
      <c r="E49" t="inlineStr">
        <is>
          <t>[-0.512, -0.422]</t>
        </is>
      </c>
      <c r="F49" t="inlineStr">
        <is>
          <t>&lt; .001</t>
        </is>
      </c>
      <c r="G49" t="inlineStr">
        <is>
          <t>✓</t>
        </is>
      </c>
    </row>
    <row r="50">
      <c r="A50" t="inlineStr">
        <is>
          <t>R_7PC_ROI</t>
        </is>
      </c>
      <c r="B50" t="n">
        <v>-0.522</v>
      </c>
      <c r="C50" t="n">
        <v>1150</v>
      </c>
      <c r="D50" t="inlineStr">
        <is>
          <t>&lt; .001</t>
        </is>
      </c>
      <c r="E50" t="inlineStr">
        <is>
          <t>[-0.563, -0.478]</t>
        </is>
      </c>
      <c r="F50" t="inlineStr">
        <is>
          <t>&lt; .001</t>
        </is>
      </c>
      <c r="G50" t="inlineStr">
        <is>
          <t>✓</t>
        </is>
      </c>
    </row>
    <row r="51">
      <c r="A51" t="inlineStr">
        <is>
          <t>R_LIPv_ROI</t>
        </is>
      </c>
      <c r="B51" t="n">
        <v>-0.522</v>
      </c>
      <c r="C51" t="n">
        <v>1150</v>
      </c>
      <c r="D51" t="inlineStr">
        <is>
          <t>&lt; .001</t>
        </is>
      </c>
      <c r="E51" t="inlineStr">
        <is>
          <t>[-0.563, -0.479]</t>
        </is>
      </c>
      <c r="F51" t="inlineStr">
        <is>
          <t>&lt; .001</t>
        </is>
      </c>
      <c r="G51" t="inlineStr">
        <is>
          <t>✓</t>
        </is>
      </c>
    </row>
    <row r="52">
      <c r="A52" t="inlineStr">
        <is>
          <t>R_VIP_ROI</t>
        </is>
      </c>
      <c r="B52" t="n">
        <v>-0.456</v>
      </c>
      <c r="C52" t="n">
        <v>1150</v>
      </c>
      <c r="D52" t="inlineStr">
        <is>
          <t>&lt; .001</t>
        </is>
      </c>
      <c r="E52" t="inlineStr">
        <is>
          <t>[-0.500, -0.408]</t>
        </is>
      </c>
      <c r="F52" t="inlineStr">
        <is>
          <t>&lt; .001</t>
        </is>
      </c>
      <c r="G52" t="inlineStr">
        <is>
          <t>✓</t>
        </is>
      </c>
    </row>
    <row r="53">
      <c r="A53" t="inlineStr">
        <is>
          <t>R_MIP_ROI</t>
        </is>
      </c>
      <c r="B53" t="n">
        <v>-0.536</v>
      </c>
      <c r="C53" t="n">
        <v>1150</v>
      </c>
      <c r="D53" t="inlineStr">
        <is>
          <t>&lt; .001</t>
        </is>
      </c>
      <c r="E53" t="inlineStr">
        <is>
          <t>[-0.576, -0.494]</t>
        </is>
      </c>
      <c r="F53" t="inlineStr">
        <is>
          <t>&lt; .001</t>
        </is>
      </c>
      <c r="G53" t="inlineStr">
        <is>
          <t>✓</t>
        </is>
      </c>
    </row>
    <row r="54">
      <c r="A54" t="inlineStr">
        <is>
          <t>R_1_ROI</t>
        </is>
      </c>
      <c r="B54" t="n">
        <v>-0.636</v>
      </c>
      <c r="C54" t="n">
        <v>1150</v>
      </c>
      <c r="D54" t="inlineStr">
        <is>
          <t>&lt; .001</t>
        </is>
      </c>
      <c r="E54" t="inlineStr">
        <is>
          <t>[-0.670, -0.601]</t>
        </is>
      </c>
      <c r="F54" t="inlineStr">
        <is>
          <t>&lt; .001</t>
        </is>
      </c>
      <c r="G54" t="inlineStr">
        <is>
          <t>✓</t>
        </is>
      </c>
    </row>
    <row r="55">
      <c r="A55" t="inlineStr">
        <is>
          <t>R_2_ROI</t>
        </is>
      </c>
      <c r="B55" t="n">
        <v>-0.657</v>
      </c>
      <c r="C55" t="n">
        <v>1150</v>
      </c>
      <c r="D55" t="inlineStr">
        <is>
          <t>&lt; .001</t>
        </is>
      </c>
      <c r="E55" t="inlineStr">
        <is>
          <t>[-0.689, -0.623]</t>
        </is>
      </c>
      <c r="F55" t="inlineStr">
        <is>
          <t>&lt; .001</t>
        </is>
      </c>
      <c r="G55" t="inlineStr">
        <is>
          <t>✓</t>
        </is>
      </c>
    </row>
    <row r="56">
      <c r="A56" t="inlineStr">
        <is>
          <t>R_3a_ROI</t>
        </is>
      </c>
      <c r="B56" t="n">
        <v>-0.54</v>
      </c>
      <c r="C56" t="n">
        <v>1150</v>
      </c>
      <c r="D56" t="inlineStr">
        <is>
          <t>&lt; .001</t>
        </is>
      </c>
      <c r="E56" t="inlineStr">
        <is>
          <t>[-0.580, -0.498]</t>
        </is>
      </c>
      <c r="F56" t="inlineStr">
        <is>
          <t>&lt; .001</t>
        </is>
      </c>
      <c r="G56" t="inlineStr">
        <is>
          <t>✓</t>
        </is>
      </c>
    </row>
    <row r="57">
      <c r="A57" t="inlineStr">
        <is>
          <t>R_6d_ROI</t>
        </is>
      </c>
      <c r="B57" t="n">
        <v>-0.595</v>
      </c>
      <c r="C57" t="n">
        <v>1150</v>
      </c>
      <c r="D57" t="inlineStr">
        <is>
          <t>&lt; .001</t>
        </is>
      </c>
      <c r="E57" t="inlineStr">
        <is>
          <t>[-0.631, -0.557]</t>
        </is>
      </c>
      <c r="F57" t="inlineStr">
        <is>
          <t>&lt; .001</t>
        </is>
      </c>
      <c r="G57" t="inlineStr">
        <is>
          <t>✓</t>
        </is>
      </c>
    </row>
    <row r="58">
      <c r="A58" t="inlineStr">
        <is>
          <t>R_6mp_ROI</t>
        </is>
      </c>
      <c r="B58" t="n">
        <v>-0.5620000000000001</v>
      </c>
      <c r="C58" t="n">
        <v>1150</v>
      </c>
      <c r="D58" t="inlineStr">
        <is>
          <t>&lt; .001</t>
        </is>
      </c>
      <c r="E58" t="inlineStr">
        <is>
          <t>[-0.601, -0.521]</t>
        </is>
      </c>
      <c r="F58" t="inlineStr">
        <is>
          <t>&lt; .001</t>
        </is>
      </c>
      <c r="G58" t="inlineStr">
        <is>
          <t>✓</t>
        </is>
      </c>
    </row>
    <row r="59">
      <c r="A59" t="inlineStr">
        <is>
          <t>R_6v_ROI</t>
        </is>
      </c>
      <c r="B59" t="n">
        <v>-0.586</v>
      </c>
      <c r="C59" t="n">
        <v>1150</v>
      </c>
      <c r="D59" t="inlineStr">
        <is>
          <t>&lt; .001</t>
        </is>
      </c>
      <c r="E59" t="inlineStr">
        <is>
          <t>[-0.622, -0.546]</t>
        </is>
      </c>
      <c r="F59" t="inlineStr">
        <is>
          <t>&lt; .001</t>
        </is>
      </c>
      <c r="G59" t="inlineStr">
        <is>
          <t>✓</t>
        </is>
      </c>
    </row>
    <row r="60">
      <c r="A60" t="inlineStr">
        <is>
          <t>R_p24pr_ROI</t>
        </is>
      </c>
      <c r="B60" t="n">
        <v>-0.438</v>
      </c>
      <c r="C60" t="n">
        <v>1150</v>
      </c>
      <c r="D60" t="inlineStr">
        <is>
          <t>&lt; .001</t>
        </is>
      </c>
      <c r="E60" t="inlineStr">
        <is>
          <t>[-0.484, -0.390]</t>
        </is>
      </c>
      <c r="F60" t="inlineStr">
        <is>
          <t>&lt; .001</t>
        </is>
      </c>
      <c r="G60" t="inlineStr">
        <is>
          <t>✓</t>
        </is>
      </c>
    </row>
    <row r="61">
      <c r="A61" t="inlineStr">
        <is>
          <t>R_33pr_ROI</t>
        </is>
      </c>
      <c r="B61" t="n">
        <v>-0.35</v>
      </c>
      <c r="C61" t="n">
        <v>1150</v>
      </c>
      <c r="D61" t="inlineStr">
        <is>
          <t>&lt; .001</t>
        </is>
      </c>
      <c r="E61" t="inlineStr">
        <is>
          <t>[-0.400, -0.299]</t>
        </is>
      </c>
      <c r="F61" t="inlineStr">
        <is>
          <t>&lt; .001</t>
        </is>
      </c>
      <c r="G61" t="inlineStr">
        <is>
          <t>✓</t>
        </is>
      </c>
    </row>
    <row r="62">
      <c r="A62" t="inlineStr">
        <is>
          <t>R_a24pr_ROI</t>
        </is>
      </c>
      <c r="B62" t="n">
        <v>-0.317</v>
      </c>
      <c r="C62" t="n">
        <v>1150</v>
      </c>
      <c r="D62" t="inlineStr">
        <is>
          <t>&lt; .001</t>
        </is>
      </c>
      <c r="E62" t="inlineStr">
        <is>
          <t>[-0.368, -0.264]</t>
        </is>
      </c>
      <c r="F62" t="inlineStr">
        <is>
          <t>&lt; .001</t>
        </is>
      </c>
      <c r="G62" t="inlineStr">
        <is>
          <t>✓</t>
        </is>
      </c>
    </row>
    <row r="63">
      <c r="A63" t="inlineStr">
        <is>
          <t>R_p32pr_ROI</t>
        </is>
      </c>
      <c r="B63" t="n">
        <v>-0.59</v>
      </c>
      <c r="C63" t="n">
        <v>1150</v>
      </c>
      <c r="D63" t="inlineStr">
        <is>
          <t>&lt; .001</t>
        </is>
      </c>
      <c r="E63" t="inlineStr">
        <is>
          <t>[-0.627, -0.551]</t>
        </is>
      </c>
      <c r="F63" t="inlineStr">
        <is>
          <t>&lt; .001</t>
        </is>
      </c>
      <c r="G63" t="inlineStr">
        <is>
          <t>✓</t>
        </is>
      </c>
    </row>
    <row r="64">
      <c r="A64" t="inlineStr">
        <is>
          <t>R_a24_ROI</t>
        </is>
      </c>
      <c r="B64" t="n">
        <v>-0.003</v>
      </c>
      <c r="C64" t="n">
        <v>1150</v>
      </c>
      <c r="D64">
        <f> 0.912</f>
        <v/>
      </c>
      <c r="E64" t="inlineStr">
        <is>
          <t>[-0.061, 0.055]</t>
        </is>
      </c>
      <c r="F64">
        <f> 0.912</f>
        <v/>
      </c>
      <c r="G64" t="inlineStr"/>
    </row>
    <row r="65">
      <c r="A65" t="inlineStr">
        <is>
          <t>R_d32_ROI</t>
        </is>
      </c>
      <c r="B65" t="n">
        <v>-0.538</v>
      </c>
      <c r="C65" t="n">
        <v>1150</v>
      </c>
      <c r="D65" t="inlineStr">
        <is>
          <t>&lt; .001</t>
        </is>
      </c>
      <c r="E65" t="inlineStr">
        <is>
          <t>[-0.578, -0.496]</t>
        </is>
      </c>
      <c r="F65" t="inlineStr">
        <is>
          <t>&lt; .001</t>
        </is>
      </c>
      <c r="G65" t="inlineStr">
        <is>
          <t>✓</t>
        </is>
      </c>
    </row>
    <row r="66">
      <c r="A66" t="inlineStr">
        <is>
          <t>R_8BM_ROI</t>
        </is>
      </c>
      <c r="B66" t="n">
        <v>-0.571</v>
      </c>
      <c r="C66" t="n">
        <v>1150</v>
      </c>
      <c r="D66" t="inlineStr">
        <is>
          <t>&lt; .001</t>
        </is>
      </c>
      <c r="E66" t="inlineStr">
        <is>
          <t>[-0.609, -0.531]</t>
        </is>
      </c>
      <c r="F66" t="inlineStr">
        <is>
          <t>&lt; .001</t>
        </is>
      </c>
      <c r="G66" t="inlineStr">
        <is>
          <t>✓</t>
        </is>
      </c>
    </row>
    <row r="67">
      <c r="A67" t="inlineStr">
        <is>
          <t>R_p32_ROI</t>
        </is>
      </c>
      <c r="B67" t="n">
        <v>-0.122</v>
      </c>
      <c r="C67" t="n">
        <v>1150</v>
      </c>
      <c r="D67" t="inlineStr">
        <is>
          <t>&lt; .001</t>
        </is>
      </c>
      <c r="E67" t="inlineStr">
        <is>
          <t>[-0.178, -0.065]</t>
        </is>
      </c>
      <c r="F67" t="inlineStr">
        <is>
          <t>&lt; .001</t>
        </is>
      </c>
      <c r="G67" t="inlineStr">
        <is>
          <t>✓</t>
        </is>
      </c>
    </row>
    <row r="68">
      <c r="A68" t="inlineStr">
        <is>
          <t>R_10r_ROI</t>
        </is>
      </c>
      <c r="B68" t="n">
        <v>-0.057</v>
      </c>
      <c r="C68" t="n">
        <v>1150</v>
      </c>
      <c r="D68">
        <f> 0.052</f>
        <v/>
      </c>
      <c r="E68" t="inlineStr">
        <is>
          <t>[-0.115, 0.000]</t>
        </is>
      </c>
      <c r="F68">
        <f> 0.052</f>
        <v/>
      </c>
      <c r="G68" t="inlineStr"/>
    </row>
    <row r="69">
      <c r="A69" t="inlineStr">
        <is>
          <t>R_47m_ROI</t>
        </is>
      </c>
      <c r="B69" t="n">
        <v>-0.445</v>
      </c>
      <c r="C69" t="n">
        <v>1150</v>
      </c>
      <c r="D69" t="inlineStr">
        <is>
          <t>&lt; .001</t>
        </is>
      </c>
      <c r="E69" t="inlineStr">
        <is>
          <t>[-0.490, -0.397]</t>
        </is>
      </c>
      <c r="F69" t="inlineStr">
        <is>
          <t>&lt; .001</t>
        </is>
      </c>
      <c r="G69" t="inlineStr">
        <is>
          <t>✓</t>
        </is>
      </c>
    </row>
    <row r="70">
      <c r="A70" t="inlineStr">
        <is>
          <t>R_8Av_ROI</t>
        </is>
      </c>
      <c r="B70" t="n">
        <v>-0.601</v>
      </c>
      <c r="C70" t="n">
        <v>1150</v>
      </c>
      <c r="D70" t="inlineStr">
        <is>
          <t>&lt; .001</t>
        </is>
      </c>
      <c r="E70" t="inlineStr">
        <is>
          <t>[-0.637, -0.563]</t>
        </is>
      </c>
      <c r="F70" t="inlineStr">
        <is>
          <t>&lt; .001</t>
        </is>
      </c>
      <c r="G70" t="inlineStr">
        <is>
          <t>✓</t>
        </is>
      </c>
    </row>
    <row r="71">
      <c r="A71" t="inlineStr">
        <is>
          <t>R_8Ad_ROI</t>
        </is>
      </c>
      <c r="B71" t="n">
        <v>-0.616</v>
      </c>
      <c r="C71" t="n">
        <v>1150</v>
      </c>
      <c r="D71" t="inlineStr">
        <is>
          <t>&lt; .001</t>
        </is>
      </c>
      <c r="E71" t="inlineStr">
        <is>
          <t>[-0.651, -0.579]</t>
        </is>
      </c>
      <c r="F71" t="inlineStr">
        <is>
          <t>&lt; .001</t>
        </is>
      </c>
      <c r="G71" t="inlineStr">
        <is>
          <t>✓</t>
        </is>
      </c>
    </row>
    <row r="72">
      <c r="A72" t="inlineStr">
        <is>
          <t>R_9m_ROI</t>
        </is>
      </c>
      <c r="B72" t="n">
        <v>-0.44</v>
      </c>
      <c r="C72" t="n">
        <v>1150</v>
      </c>
      <c r="D72" t="inlineStr">
        <is>
          <t>&lt; .001</t>
        </is>
      </c>
      <c r="E72" t="inlineStr">
        <is>
          <t>[-0.486, -0.392]</t>
        </is>
      </c>
      <c r="F72" t="inlineStr">
        <is>
          <t>&lt; .001</t>
        </is>
      </c>
      <c r="G72" t="inlineStr">
        <is>
          <t>✓</t>
        </is>
      </c>
    </row>
    <row r="73">
      <c r="A73" t="inlineStr">
        <is>
          <t>R_8BL_ROI</t>
        </is>
      </c>
      <c r="B73" t="n">
        <v>-0.522</v>
      </c>
      <c r="C73" t="n">
        <v>1150</v>
      </c>
      <c r="D73" t="inlineStr">
        <is>
          <t>&lt; .001</t>
        </is>
      </c>
      <c r="E73" t="inlineStr">
        <is>
          <t>[-0.562, -0.478]</t>
        </is>
      </c>
      <c r="F73" t="inlineStr">
        <is>
          <t>&lt; .001</t>
        </is>
      </c>
      <c r="G73" t="inlineStr">
        <is>
          <t>✓</t>
        </is>
      </c>
    </row>
    <row r="74">
      <c r="A74" t="inlineStr">
        <is>
          <t>R_9p_ROI</t>
        </is>
      </c>
      <c r="B74" t="n">
        <v>-0.457</v>
      </c>
      <c r="C74" t="n">
        <v>1150</v>
      </c>
      <c r="D74" t="inlineStr">
        <is>
          <t>&lt; .001</t>
        </is>
      </c>
      <c r="E74" t="inlineStr">
        <is>
          <t>[-0.501, -0.410]</t>
        </is>
      </c>
      <c r="F74" t="inlineStr">
        <is>
          <t>&lt; .001</t>
        </is>
      </c>
      <c r="G74" t="inlineStr">
        <is>
          <t>✓</t>
        </is>
      </c>
    </row>
    <row r="75">
      <c r="A75" t="inlineStr">
        <is>
          <t>R_10d_ROI</t>
        </is>
      </c>
      <c r="B75" t="n">
        <v>-0.333</v>
      </c>
      <c r="C75" t="n">
        <v>1150</v>
      </c>
      <c r="D75" t="inlineStr">
        <is>
          <t>&lt; .001</t>
        </is>
      </c>
      <c r="E75" t="inlineStr">
        <is>
          <t>[-0.383, -0.280]</t>
        </is>
      </c>
      <c r="F75" t="inlineStr">
        <is>
          <t>&lt; .001</t>
        </is>
      </c>
      <c r="G75" t="inlineStr">
        <is>
          <t>✓</t>
        </is>
      </c>
    </row>
    <row r="76">
      <c r="A76" t="inlineStr">
        <is>
          <t>R_8C_ROI</t>
        </is>
      </c>
      <c r="B76" t="n">
        <v>-0.644</v>
      </c>
      <c r="C76" t="n">
        <v>1150</v>
      </c>
      <c r="D76" t="inlineStr">
        <is>
          <t>&lt; .001</t>
        </is>
      </c>
      <c r="E76" t="inlineStr">
        <is>
          <t>[-0.676, -0.608]</t>
        </is>
      </c>
      <c r="F76" t="inlineStr">
        <is>
          <t>&lt; .001</t>
        </is>
      </c>
      <c r="G76" t="inlineStr">
        <is>
          <t>✓</t>
        </is>
      </c>
    </row>
    <row r="77">
      <c r="A77" t="inlineStr">
        <is>
          <t>R_44_ROI</t>
        </is>
      </c>
      <c r="B77" t="n">
        <v>-0.57</v>
      </c>
      <c r="C77" t="n">
        <v>1150</v>
      </c>
      <c r="D77" t="inlineStr">
        <is>
          <t>&lt; .001</t>
        </is>
      </c>
      <c r="E77" t="inlineStr">
        <is>
          <t>[-0.608, -0.529]</t>
        </is>
      </c>
      <c r="F77" t="inlineStr">
        <is>
          <t>&lt; .001</t>
        </is>
      </c>
      <c r="G77" t="inlineStr">
        <is>
          <t>✓</t>
        </is>
      </c>
    </row>
    <row r="78">
      <c r="A78" t="inlineStr">
        <is>
          <t>R_45_ROI</t>
        </is>
      </c>
      <c r="B78" t="n">
        <v>-0.589</v>
      </c>
      <c r="C78" t="n">
        <v>1150</v>
      </c>
      <c r="D78" t="inlineStr">
        <is>
          <t>&lt; .001</t>
        </is>
      </c>
      <c r="E78" t="inlineStr">
        <is>
          <t>[-0.625, -0.550]</t>
        </is>
      </c>
      <c r="F78" t="inlineStr">
        <is>
          <t>&lt; .001</t>
        </is>
      </c>
      <c r="G78" t="inlineStr">
        <is>
          <t>✓</t>
        </is>
      </c>
    </row>
    <row r="79">
      <c r="A79" t="inlineStr">
        <is>
          <t>R_47l_ROI</t>
        </is>
      </c>
      <c r="B79" t="n">
        <v>-0.534</v>
      </c>
      <c r="C79" t="n">
        <v>1150</v>
      </c>
      <c r="D79" t="inlineStr">
        <is>
          <t>&lt; .001</t>
        </is>
      </c>
      <c r="E79" t="inlineStr">
        <is>
          <t>[-0.574, -0.492]</t>
        </is>
      </c>
      <c r="F79" t="inlineStr">
        <is>
          <t>&lt; .001</t>
        </is>
      </c>
      <c r="G79" t="inlineStr">
        <is>
          <t>✓</t>
        </is>
      </c>
    </row>
    <row r="80">
      <c r="A80" t="inlineStr">
        <is>
          <t>R_a47r_ROI</t>
        </is>
      </c>
      <c r="B80" t="n">
        <v>-0.48</v>
      </c>
      <c r="C80" t="n">
        <v>1150</v>
      </c>
      <c r="D80" t="inlineStr">
        <is>
          <t>&lt; .001</t>
        </is>
      </c>
      <c r="E80" t="inlineStr">
        <is>
          <t>[-0.523, -0.434]</t>
        </is>
      </c>
      <c r="F80" t="inlineStr">
        <is>
          <t>&lt; .001</t>
        </is>
      </c>
      <c r="G80" t="inlineStr">
        <is>
          <t>✓</t>
        </is>
      </c>
    </row>
    <row r="81">
      <c r="A81" t="inlineStr">
        <is>
          <t>R_6r_ROI</t>
        </is>
      </c>
      <c r="B81" t="n">
        <v>-0.611</v>
      </c>
      <c r="C81" t="n">
        <v>1150</v>
      </c>
      <c r="D81" t="inlineStr">
        <is>
          <t>&lt; .001</t>
        </is>
      </c>
      <c r="E81" t="inlineStr">
        <is>
          <t>[-0.646, -0.574]</t>
        </is>
      </c>
      <c r="F81" t="inlineStr">
        <is>
          <t>&lt; .001</t>
        </is>
      </c>
      <c r="G81" t="inlineStr">
        <is>
          <t>✓</t>
        </is>
      </c>
    </row>
    <row r="82">
      <c r="A82" t="inlineStr">
        <is>
          <t>R_IFJa_ROI</t>
        </is>
      </c>
      <c r="B82" t="n">
        <v>-0.58</v>
      </c>
      <c r="C82" t="n">
        <v>1150</v>
      </c>
      <c r="D82" t="inlineStr">
        <is>
          <t>&lt; .001</t>
        </is>
      </c>
      <c r="E82" t="inlineStr">
        <is>
          <t>[-0.618, -0.541]</t>
        </is>
      </c>
      <c r="F82" t="inlineStr">
        <is>
          <t>&lt; .001</t>
        </is>
      </c>
      <c r="G82" t="inlineStr">
        <is>
          <t>✓</t>
        </is>
      </c>
    </row>
    <row r="83">
      <c r="A83" t="inlineStr">
        <is>
          <t>R_IFJp_ROI</t>
        </is>
      </c>
      <c r="B83" t="n">
        <v>-0.544</v>
      </c>
      <c r="C83" t="n">
        <v>1150</v>
      </c>
      <c r="D83" t="inlineStr">
        <is>
          <t>&lt; .001</t>
        </is>
      </c>
      <c r="E83" t="inlineStr">
        <is>
          <t>[-0.584, -0.502]</t>
        </is>
      </c>
      <c r="F83" t="inlineStr">
        <is>
          <t>&lt; .001</t>
        </is>
      </c>
      <c r="G83" t="inlineStr">
        <is>
          <t>✓</t>
        </is>
      </c>
    </row>
    <row r="84">
      <c r="A84" t="inlineStr">
        <is>
          <t>R_IFSp_ROI</t>
        </is>
      </c>
      <c r="B84" t="n">
        <v>-0.576</v>
      </c>
      <c r="C84" t="n">
        <v>1150</v>
      </c>
      <c r="D84" t="inlineStr">
        <is>
          <t>&lt; .001</t>
        </is>
      </c>
      <c r="E84" t="inlineStr">
        <is>
          <t>[-0.613, -0.536]</t>
        </is>
      </c>
      <c r="F84" t="inlineStr">
        <is>
          <t>&lt; .001</t>
        </is>
      </c>
      <c r="G84" t="inlineStr">
        <is>
          <t>✓</t>
        </is>
      </c>
    </row>
    <row r="85">
      <c r="A85" t="inlineStr">
        <is>
          <t>R_IFSa_ROI</t>
        </is>
      </c>
      <c r="B85" t="n">
        <v>-0.501</v>
      </c>
      <c r="C85" t="n">
        <v>1150</v>
      </c>
      <c r="D85" t="inlineStr">
        <is>
          <t>&lt; .001</t>
        </is>
      </c>
      <c r="E85" t="inlineStr">
        <is>
          <t>[-0.543, -0.457]</t>
        </is>
      </c>
      <c r="F85" t="inlineStr">
        <is>
          <t>&lt; .001</t>
        </is>
      </c>
      <c r="G85" t="inlineStr">
        <is>
          <t>✓</t>
        </is>
      </c>
    </row>
    <row r="86">
      <c r="A86" t="inlineStr">
        <is>
          <t>R_p9_46v_ROI</t>
        </is>
      </c>
      <c r="B86" t="n">
        <v>-0.601</v>
      </c>
      <c r="C86" t="n">
        <v>1150</v>
      </c>
      <c r="D86" t="inlineStr">
        <is>
          <t>&lt; .001</t>
        </is>
      </c>
      <c r="E86" t="inlineStr">
        <is>
          <t>[-0.636, -0.562]</t>
        </is>
      </c>
      <c r="F86" t="inlineStr">
        <is>
          <t>&lt; .001</t>
        </is>
      </c>
      <c r="G86" t="inlineStr">
        <is>
          <t>✓</t>
        </is>
      </c>
    </row>
    <row r="87">
      <c r="A87" t="inlineStr">
        <is>
          <t>R_46_ROI</t>
        </is>
      </c>
      <c r="B87" t="n">
        <v>-0.575</v>
      </c>
      <c r="C87" t="n">
        <v>1150</v>
      </c>
      <c r="D87" t="inlineStr">
        <is>
          <t>&lt; .001</t>
        </is>
      </c>
      <c r="E87" t="inlineStr">
        <is>
          <t>[-0.613, -0.535]</t>
        </is>
      </c>
      <c r="F87" t="inlineStr">
        <is>
          <t>&lt; .001</t>
        </is>
      </c>
      <c r="G87" t="inlineStr">
        <is>
          <t>✓</t>
        </is>
      </c>
    </row>
    <row r="88">
      <c r="A88" t="inlineStr">
        <is>
          <t>R_a9_46v_ROI</t>
        </is>
      </c>
      <c r="B88" t="n">
        <v>-0.509</v>
      </c>
      <c r="C88" t="n">
        <v>1150</v>
      </c>
      <c r="D88" t="inlineStr">
        <is>
          <t>&lt; .001</t>
        </is>
      </c>
      <c r="E88" t="inlineStr">
        <is>
          <t>[-0.551, -0.465]</t>
        </is>
      </c>
      <c r="F88" t="inlineStr">
        <is>
          <t>&lt; .001</t>
        </is>
      </c>
      <c r="G88" t="inlineStr">
        <is>
          <t>✓</t>
        </is>
      </c>
    </row>
    <row r="89">
      <c r="A89" t="inlineStr">
        <is>
          <t>R_9_46d_ROI</t>
        </is>
      </c>
      <c r="B89" t="n">
        <v>-0.546</v>
      </c>
      <c r="C89" t="n">
        <v>1150</v>
      </c>
      <c r="D89" t="inlineStr">
        <is>
          <t>&lt; .001</t>
        </is>
      </c>
      <c r="E89" t="inlineStr">
        <is>
          <t>[-0.586, -0.504]</t>
        </is>
      </c>
      <c r="F89" t="inlineStr">
        <is>
          <t>&lt; .001</t>
        </is>
      </c>
      <c r="G89" t="inlineStr">
        <is>
          <t>✓</t>
        </is>
      </c>
    </row>
    <row r="90">
      <c r="A90" t="inlineStr">
        <is>
          <t>R_9a_ROI</t>
        </is>
      </c>
      <c r="B90" t="n">
        <v>-0.397</v>
      </c>
      <c r="C90" t="n">
        <v>1150</v>
      </c>
      <c r="D90" t="inlineStr">
        <is>
          <t>&lt; .001</t>
        </is>
      </c>
      <c r="E90" t="inlineStr">
        <is>
          <t>[-0.445, -0.347]</t>
        </is>
      </c>
      <c r="F90" t="inlineStr">
        <is>
          <t>&lt; .001</t>
        </is>
      </c>
      <c r="G90" t="inlineStr">
        <is>
          <t>✓</t>
        </is>
      </c>
    </row>
    <row r="91">
      <c r="A91" t="inlineStr">
        <is>
          <t>R_10v_ROI</t>
        </is>
      </c>
      <c r="B91" t="n">
        <v>0.008</v>
      </c>
      <c r="C91" t="n">
        <v>1150</v>
      </c>
      <c r="D91">
        <f> 0.791</f>
        <v/>
      </c>
      <c r="E91" t="inlineStr">
        <is>
          <t>[-0.050, 0.066]</t>
        </is>
      </c>
      <c r="F91">
        <f> 0.793</f>
        <v/>
      </c>
      <c r="G91" t="inlineStr"/>
    </row>
    <row r="92">
      <c r="A92" t="inlineStr">
        <is>
          <t>R_a10p_ROI</t>
        </is>
      </c>
      <c r="B92" t="n">
        <v>-0.312</v>
      </c>
      <c r="C92" t="n">
        <v>1150</v>
      </c>
      <c r="D92" t="inlineStr">
        <is>
          <t>&lt; .001</t>
        </is>
      </c>
      <c r="E92" t="inlineStr">
        <is>
          <t>[-0.363, -0.259]</t>
        </is>
      </c>
      <c r="F92" t="inlineStr">
        <is>
          <t>&lt; .001</t>
        </is>
      </c>
      <c r="G92" t="inlineStr">
        <is>
          <t>✓</t>
        </is>
      </c>
    </row>
    <row r="93">
      <c r="A93" t="inlineStr">
        <is>
          <t>R_10pp_ROI</t>
        </is>
      </c>
      <c r="B93" t="n">
        <v>-0.25</v>
      </c>
      <c r="C93" t="n">
        <v>1150</v>
      </c>
      <c r="D93" t="inlineStr">
        <is>
          <t>&lt; .001</t>
        </is>
      </c>
      <c r="E93" t="inlineStr">
        <is>
          <t>[-0.304, -0.195]</t>
        </is>
      </c>
      <c r="F93" t="inlineStr">
        <is>
          <t>&lt; .001</t>
        </is>
      </c>
      <c r="G93" t="inlineStr">
        <is>
          <t>✓</t>
        </is>
      </c>
    </row>
    <row r="94">
      <c r="A94" t="inlineStr">
        <is>
          <t>R_11l_ROI</t>
        </is>
      </c>
      <c r="B94" t="n">
        <v>-0.181</v>
      </c>
      <c r="C94" t="n">
        <v>1150</v>
      </c>
      <c r="D94" t="inlineStr">
        <is>
          <t>&lt; .001</t>
        </is>
      </c>
      <c r="E94" t="inlineStr">
        <is>
          <t>[-0.237, -0.125]</t>
        </is>
      </c>
      <c r="F94" t="inlineStr">
        <is>
          <t>&lt; .001</t>
        </is>
      </c>
      <c r="G94" t="inlineStr">
        <is>
          <t>✓</t>
        </is>
      </c>
    </row>
    <row r="95">
      <c r="A95" t="inlineStr">
        <is>
          <t>R_13l_ROI</t>
        </is>
      </c>
      <c r="B95" t="n">
        <v>-0.19</v>
      </c>
      <c r="C95" t="n">
        <v>1150</v>
      </c>
      <c r="D95" t="inlineStr">
        <is>
          <t>&lt; .001</t>
        </is>
      </c>
      <c r="E95" t="inlineStr">
        <is>
          <t>[-0.245, -0.133]</t>
        </is>
      </c>
      <c r="F95" t="inlineStr">
        <is>
          <t>&lt; .001</t>
        </is>
      </c>
      <c r="G95" t="inlineStr">
        <is>
          <t>✓</t>
        </is>
      </c>
    </row>
    <row r="96">
      <c r="A96" t="inlineStr">
        <is>
          <t>R_OFC_ROI</t>
        </is>
      </c>
      <c r="B96" t="n">
        <v>0.367</v>
      </c>
      <c r="C96" t="n">
        <v>1150</v>
      </c>
      <c r="D96" t="inlineStr">
        <is>
          <t>&lt; .001</t>
        </is>
      </c>
      <c r="E96" t="inlineStr">
        <is>
          <t>[0.316, 0.416]</t>
        </is>
      </c>
      <c r="F96" t="inlineStr">
        <is>
          <t>&lt; .001</t>
        </is>
      </c>
      <c r="G96" t="inlineStr">
        <is>
          <t>✓</t>
        </is>
      </c>
    </row>
    <row r="97">
      <c r="A97" t="inlineStr">
        <is>
          <t>R_47s_ROI</t>
        </is>
      </c>
      <c r="B97" t="n">
        <v>-0.363</v>
      </c>
      <c r="C97" t="n">
        <v>1150</v>
      </c>
      <c r="D97" t="inlineStr">
        <is>
          <t>&lt; .001</t>
        </is>
      </c>
      <c r="E97" t="inlineStr">
        <is>
          <t>[-0.412, -0.311]</t>
        </is>
      </c>
      <c r="F97" t="inlineStr">
        <is>
          <t>&lt; .001</t>
        </is>
      </c>
      <c r="G97" t="inlineStr">
        <is>
          <t>✓</t>
        </is>
      </c>
    </row>
    <row r="98">
      <c r="A98" t="inlineStr">
        <is>
          <t>R_LIPd_ROI</t>
        </is>
      </c>
      <c r="B98" t="n">
        <v>-0.499</v>
      </c>
      <c r="C98" t="n">
        <v>1150</v>
      </c>
      <c r="D98" t="inlineStr">
        <is>
          <t>&lt; .001</t>
        </is>
      </c>
      <c r="E98" t="inlineStr">
        <is>
          <t>[-0.541, -0.454]</t>
        </is>
      </c>
      <c r="F98" t="inlineStr">
        <is>
          <t>&lt; .001</t>
        </is>
      </c>
      <c r="G98" t="inlineStr">
        <is>
          <t>✓</t>
        </is>
      </c>
    </row>
    <row r="99">
      <c r="A99" t="inlineStr">
        <is>
          <t>R_6a_ROI</t>
        </is>
      </c>
      <c r="B99" t="n">
        <v>-0.663</v>
      </c>
      <c r="C99" t="n">
        <v>1150</v>
      </c>
      <c r="D99" t="inlineStr">
        <is>
          <t>&lt; .001</t>
        </is>
      </c>
      <c r="E99" t="inlineStr">
        <is>
          <t>[-0.694, -0.630]</t>
        </is>
      </c>
      <c r="F99" t="inlineStr">
        <is>
          <t>&lt; .001</t>
        </is>
      </c>
      <c r="G99" t="inlineStr">
        <is>
          <t>✓</t>
        </is>
      </c>
    </row>
    <row r="100">
      <c r="A100" t="inlineStr">
        <is>
          <t>R_i6_8_ROI</t>
        </is>
      </c>
      <c r="B100" t="n">
        <v>-0.59</v>
      </c>
      <c r="C100" t="n">
        <v>1150</v>
      </c>
      <c r="D100" t="inlineStr">
        <is>
          <t>&lt; .001</t>
        </is>
      </c>
      <c r="E100" t="inlineStr">
        <is>
          <t>[-0.627, -0.551]</t>
        </is>
      </c>
      <c r="F100" t="inlineStr">
        <is>
          <t>&lt; .001</t>
        </is>
      </c>
      <c r="G100" t="inlineStr">
        <is>
          <t>✓</t>
        </is>
      </c>
    </row>
    <row r="101">
      <c r="A101" t="inlineStr">
        <is>
          <t>R_s6_8_ROI</t>
        </is>
      </c>
      <c r="B101" t="n">
        <v>-0.556</v>
      </c>
      <c r="C101" t="n">
        <v>1150</v>
      </c>
      <c r="D101" t="inlineStr">
        <is>
          <t>&lt; .001</t>
        </is>
      </c>
      <c r="E101" t="inlineStr">
        <is>
          <t>[-0.595, -0.515]</t>
        </is>
      </c>
      <c r="F101" t="inlineStr">
        <is>
          <t>&lt; .001</t>
        </is>
      </c>
      <c r="G101" t="inlineStr">
        <is>
          <t>✓</t>
        </is>
      </c>
    </row>
    <row r="102">
      <c r="A102" t="inlineStr">
        <is>
          <t>R_43_ROI</t>
        </is>
      </c>
      <c r="B102" t="n">
        <v>-0.572</v>
      </c>
      <c r="C102" t="n">
        <v>1150</v>
      </c>
      <c r="D102" t="inlineStr">
        <is>
          <t>&lt; .001</t>
        </is>
      </c>
      <c r="E102" t="inlineStr">
        <is>
          <t>[-0.609, -0.531]</t>
        </is>
      </c>
      <c r="F102" t="inlineStr">
        <is>
          <t>&lt; .001</t>
        </is>
      </c>
      <c r="G102" t="inlineStr">
        <is>
          <t>✓</t>
        </is>
      </c>
    </row>
    <row r="103">
      <c r="A103" t="inlineStr">
        <is>
          <t>R_OP4_ROI</t>
        </is>
      </c>
      <c r="B103" t="n">
        <v>-0.542</v>
      </c>
      <c r="C103" t="n">
        <v>1150</v>
      </c>
      <c r="D103" t="inlineStr">
        <is>
          <t>&lt; .001</t>
        </is>
      </c>
      <c r="E103" t="inlineStr">
        <is>
          <t>[-0.581, -0.500]</t>
        </is>
      </c>
      <c r="F103" t="inlineStr">
        <is>
          <t>&lt; .001</t>
        </is>
      </c>
      <c r="G103" t="inlineStr">
        <is>
          <t>✓</t>
        </is>
      </c>
    </row>
    <row r="104">
      <c r="A104" t="inlineStr">
        <is>
          <t>R_OP1_ROI</t>
        </is>
      </c>
      <c r="B104" t="n">
        <v>-0.508</v>
      </c>
      <c r="C104" t="n">
        <v>1150</v>
      </c>
      <c r="D104" t="inlineStr">
        <is>
          <t>&lt; .001</t>
        </is>
      </c>
      <c r="E104" t="inlineStr">
        <is>
          <t>[-0.550, -0.464]</t>
        </is>
      </c>
      <c r="F104" t="inlineStr">
        <is>
          <t>&lt; .001</t>
        </is>
      </c>
      <c r="G104" t="inlineStr">
        <is>
          <t>✓</t>
        </is>
      </c>
    </row>
    <row r="105">
      <c r="A105" t="inlineStr">
        <is>
          <t>R_OP2_3_ROI</t>
        </is>
      </c>
      <c r="B105" t="n">
        <v>-0.675</v>
      </c>
      <c r="C105" t="n">
        <v>1150</v>
      </c>
      <c r="D105" t="inlineStr">
        <is>
          <t>&lt; .001</t>
        </is>
      </c>
      <c r="E105" t="inlineStr">
        <is>
          <t>[-0.706, -0.643]</t>
        </is>
      </c>
      <c r="F105" t="inlineStr">
        <is>
          <t>&lt; .001</t>
        </is>
      </c>
      <c r="G105" t="inlineStr">
        <is>
          <t>✓</t>
        </is>
      </c>
    </row>
    <row r="106">
      <c r="A106" t="inlineStr">
        <is>
          <t>R_52_ROI</t>
        </is>
      </c>
      <c r="B106" t="n">
        <v>-0.491</v>
      </c>
      <c r="C106" t="n">
        <v>1150</v>
      </c>
      <c r="D106" t="inlineStr">
        <is>
          <t>&lt; .001</t>
        </is>
      </c>
      <c r="E106" t="inlineStr">
        <is>
          <t>[-0.534, -0.446]</t>
        </is>
      </c>
      <c r="F106" t="inlineStr">
        <is>
          <t>&lt; .001</t>
        </is>
      </c>
      <c r="G106" t="inlineStr">
        <is>
          <t>✓</t>
        </is>
      </c>
    </row>
    <row r="107">
      <c r="A107" t="inlineStr">
        <is>
          <t>R_RI_ROI</t>
        </is>
      </c>
      <c r="B107" t="n">
        <v>-0.6840000000000001</v>
      </c>
      <c r="C107" t="n">
        <v>1150</v>
      </c>
      <c r="D107" t="inlineStr">
        <is>
          <t>&lt; .001</t>
        </is>
      </c>
      <c r="E107" t="inlineStr">
        <is>
          <t>[-0.714, -0.652]</t>
        </is>
      </c>
      <c r="F107" t="inlineStr">
        <is>
          <t>&lt; .001</t>
        </is>
      </c>
      <c r="G107" t="inlineStr">
        <is>
          <t>✓</t>
        </is>
      </c>
    </row>
    <row r="108">
      <c r="A108" t="inlineStr">
        <is>
          <t>R_PFcm_ROI</t>
        </is>
      </c>
      <c r="B108" t="n">
        <v>-0.515</v>
      </c>
      <c r="C108" t="n">
        <v>1150</v>
      </c>
      <c r="D108" t="inlineStr">
        <is>
          <t>&lt; .001</t>
        </is>
      </c>
      <c r="E108" t="inlineStr">
        <is>
          <t>[-0.556, -0.471]</t>
        </is>
      </c>
      <c r="F108" t="inlineStr">
        <is>
          <t>&lt; .001</t>
        </is>
      </c>
      <c r="G108" t="inlineStr">
        <is>
          <t>✓</t>
        </is>
      </c>
    </row>
    <row r="109">
      <c r="A109" t="inlineStr">
        <is>
          <t>R_PoI2_ROI</t>
        </is>
      </c>
      <c r="B109" t="n">
        <v>-0.233</v>
      </c>
      <c r="C109" t="n">
        <v>1150</v>
      </c>
      <c r="D109" t="inlineStr">
        <is>
          <t>&lt; .001</t>
        </is>
      </c>
      <c r="E109" t="inlineStr">
        <is>
          <t>[-0.287, -0.178]</t>
        </is>
      </c>
      <c r="F109" t="inlineStr">
        <is>
          <t>&lt; .001</t>
        </is>
      </c>
      <c r="G109" t="inlineStr">
        <is>
          <t>✓</t>
        </is>
      </c>
    </row>
    <row r="110">
      <c r="A110" t="inlineStr">
        <is>
          <t>R_TA2_ROI</t>
        </is>
      </c>
      <c r="B110" t="n">
        <v>-0.569</v>
      </c>
      <c r="C110" t="n">
        <v>1150</v>
      </c>
      <c r="D110" t="inlineStr">
        <is>
          <t>&lt; .001</t>
        </is>
      </c>
      <c r="E110" t="inlineStr">
        <is>
          <t>[-0.607, -0.529]</t>
        </is>
      </c>
      <c r="F110" t="inlineStr">
        <is>
          <t>&lt; .001</t>
        </is>
      </c>
      <c r="G110" t="inlineStr">
        <is>
          <t>✓</t>
        </is>
      </c>
    </row>
    <row r="111">
      <c r="A111" t="inlineStr">
        <is>
          <t>R_FOP4_ROI</t>
        </is>
      </c>
      <c r="B111" t="n">
        <v>-0.658</v>
      </c>
      <c r="C111" t="n">
        <v>1150</v>
      </c>
      <c r="D111" t="inlineStr">
        <is>
          <t>&lt; .001</t>
        </is>
      </c>
      <c r="E111" t="inlineStr">
        <is>
          <t>[-0.690, -0.624]</t>
        </is>
      </c>
      <c r="F111" t="inlineStr">
        <is>
          <t>&lt; .001</t>
        </is>
      </c>
      <c r="G111" t="inlineStr">
        <is>
          <t>✓</t>
        </is>
      </c>
    </row>
    <row r="112">
      <c r="A112" t="inlineStr">
        <is>
          <t>R_MI_ROI</t>
        </is>
      </c>
      <c r="B112" t="n">
        <v>-0.357</v>
      </c>
      <c r="C112" t="n">
        <v>1150</v>
      </c>
      <c r="D112" t="inlineStr">
        <is>
          <t>&lt; .001</t>
        </is>
      </c>
      <c r="E112" t="inlineStr">
        <is>
          <t>[-0.406, -0.305]</t>
        </is>
      </c>
      <c r="F112" t="inlineStr">
        <is>
          <t>&lt; .001</t>
        </is>
      </c>
      <c r="G112" t="inlineStr">
        <is>
          <t>✓</t>
        </is>
      </c>
    </row>
    <row r="113">
      <c r="A113" t="inlineStr">
        <is>
          <t>R_Pir_ROI</t>
        </is>
      </c>
      <c r="B113" t="n">
        <v>-0.199</v>
      </c>
      <c r="C113" t="n">
        <v>1150</v>
      </c>
      <c r="D113" t="inlineStr">
        <is>
          <t>&lt; .001</t>
        </is>
      </c>
      <c r="E113" t="inlineStr">
        <is>
          <t>[-0.254, -0.143]</t>
        </is>
      </c>
      <c r="F113" t="inlineStr">
        <is>
          <t>&lt; .001</t>
        </is>
      </c>
      <c r="G113" t="inlineStr">
        <is>
          <t>✓</t>
        </is>
      </c>
    </row>
    <row r="114">
      <c r="A114" t="inlineStr">
        <is>
          <t>R_AVI_ROI</t>
        </is>
      </c>
      <c r="B114" t="n">
        <v>-0.503</v>
      </c>
      <c r="C114" t="n">
        <v>1150</v>
      </c>
      <c r="D114" t="inlineStr">
        <is>
          <t>&lt; .001</t>
        </is>
      </c>
      <c r="E114" t="inlineStr">
        <is>
          <t>[-0.545, -0.458]</t>
        </is>
      </c>
      <c r="F114" t="inlineStr">
        <is>
          <t>&lt; .001</t>
        </is>
      </c>
      <c r="G114" t="inlineStr">
        <is>
          <t>✓</t>
        </is>
      </c>
    </row>
    <row r="115">
      <c r="A115" t="inlineStr">
        <is>
          <t>R_AAIC_ROI</t>
        </is>
      </c>
      <c r="B115" t="n">
        <v>-0.388</v>
      </c>
      <c r="C115" t="n">
        <v>1150</v>
      </c>
      <c r="D115" t="inlineStr">
        <is>
          <t>&lt; .001</t>
        </is>
      </c>
      <c r="E115" t="inlineStr">
        <is>
          <t>[-0.436, -0.338]</t>
        </is>
      </c>
      <c r="F115" t="inlineStr">
        <is>
          <t>&lt; .001</t>
        </is>
      </c>
      <c r="G115" t="inlineStr">
        <is>
          <t>✓</t>
        </is>
      </c>
    </row>
    <row r="116">
      <c r="A116" t="inlineStr">
        <is>
          <t>R_FOP1_ROI</t>
        </is>
      </c>
      <c r="B116" t="n">
        <v>-0.592</v>
      </c>
      <c r="C116" t="n">
        <v>1150</v>
      </c>
      <c r="D116" t="inlineStr">
        <is>
          <t>&lt; .001</t>
        </is>
      </c>
      <c r="E116" t="inlineStr">
        <is>
          <t>[-0.629, -0.553]</t>
        </is>
      </c>
      <c r="F116" t="inlineStr">
        <is>
          <t>&lt; .001</t>
        </is>
      </c>
      <c r="G116" t="inlineStr">
        <is>
          <t>✓</t>
        </is>
      </c>
    </row>
    <row r="117">
      <c r="A117" t="inlineStr">
        <is>
          <t>R_FOP3_ROI</t>
        </is>
      </c>
      <c r="B117" t="n">
        <v>-0.543</v>
      </c>
      <c r="C117" t="n">
        <v>1150</v>
      </c>
      <c r="D117" t="inlineStr">
        <is>
          <t>&lt; .001</t>
        </is>
      </c>
      <c r="E117" t="inlineStr">
        <is>
          <t>[-0.583, -0.501]</t>
        </is>
      </c>
      <c r="F117" t="inlineStr">
        <is>
          <t>&lt; .001</t>
        </is>
      </c>
      <c r="G117" t="inlineStr">
        <is>
          <t>✓</t>
        </is>
      </c>
    </row>
    <row r="118">
      <c r="A118" t="inlineStr">
        <is>
          <t>R_FOP2_ROI</t>
        </is>
      </c>
      <c r="B118" t="n">
        <v>-0.539</v>
      </c>
      <c r="C118" t="n">
        <v>1150</v>
      </c>
      <c r="D118" t="inlineStr">
        <is>
          <t>&lt; .001</t>
        </is>
      </c>
      <c r="E118" t="inlineStr">
        <is>
          <t>[-0.579, -0.497]</t>
        </is>
      </c>
      <c r="F118" t="inlineStr">
        <is>
          <t>&lt; .001</t>
        </is>
      </c>
      <c r="G118" t="inlineStr">
        <is>
          <t>✓</t>
        </is>
      </c>
    </row>
    <row r="119">
      <c r="A119" t="inlineStr">
        <is>
          <t>R_PFt_ROI</t>
        </is>
      </c>
      <c r="B119" t="n">
        <v>-0.506</v>
      </c>
      <c r="C119" t="n">
        <v>1150</v>
      </c>
      <c r="D119" t="inlineStr">
        <is>
          <t>&lt; .001</t>
        </is>
      </c>
      <c r="E119" t="inlineStr">
        <is>
          <t>[-0.548, -0.462]</t>
        </is>
      </c>
      <c r="F119" t="inlineStr">
        <is>
          <t>&lt; .001</t>
        </is>
      </c>
      <c r="G119" t="inlineStr">
        <is>
          <t>✓</t>
        </is>
      </c>
    </row>
    <row r="120">
      <c r="A120" t="inlineStr">
        <is>
          <t>R_AIP_ROI</t>
        </is>
      </c>
      <c r="B120" t="n">
        <v>-0.627</v>
      </c>
      <c r="C120" t="n">
        <v>1150</v>
      </c>
      <c r="D120" t="inlineStr">
        <is>
          <t>&lt; .001</t>
        </is>
      </c>
      <c r="E120" t="inlineStr">
        <is>
          <t>[-0.661, -0.590]</t>
        </is>
      </c>
      <c r="F120" t="inlineStr">
        <is>
          <t>&lt; .001</t>
        </is>
      </c>
      <c r="G120" t="inlineStr">
        <is>
          <t>✓</t>
        </is>
      </c>
    </row>
    <row r="121">
      <c r="A121" t="inlineStr">
        <is>
          <t>R_EC_ROI</t>
        </is>
      </c>
      <c r="B121" t="n">
        <v>-0.196</v>
      </c>
      <c r="C121" t="n">
        <v>1150</v>
      </c>
      <c r="D121" t="inlineStr">
        <is>
          <t>&lt; .001</t>
        </is>
      </c>
      <c r="E121" t="inlineStr">
        <is>
          <t>[-0.251, -0.140]</t>
        </is>
      </c>
      <c r="F121" t="inlineStr">
        <is>
          <t>&lt; .001</t>
        </is>
      </c>
      <c r="G121" t="inlineStr">
        <is>
          <t>✓</t>
        </is>
      </c>
    </row>
    <row r="122">
      <c r="A122" t="inlineStr">
        <is>
          <t>R_PreS_ROI</t>
        </is>
      </c>
      <c r="B122" t="n">
        <v>-0.358</v>
      </c>
      <c r="C122" t="n">
        <v>1150</v>
      </c>
      <c r="D122" t="inlineStr">
        <is>
          <t>&lt; .001</t>
        </is>
      </c>
      <c r="E122" t="inlineStr">
        <is>
          <t>[-0.407, -0.306]</t>
        </is>
      </c>
      <c r="F122" t="inlineStr">
        <is>
          <t>&lt; .001</t>
        </is>
      </c>
      <c r="G122" t="inlineStr">
        <is>
          <t>✓</t>
        </is>
      </c>
    </row>
    <row r="123">
      <c r="A123" t="inlineStr">
        <is>
          <t>R_H_ROI</t>
        </is>
      </c>
      <c r="B123" t="n">
        <v>-0.472</v>
      </c>
      <c r="C123" t="n">
        <v>1150</v>
      </c>
      <c r="D123" t="inlineStr">
        <is>
          <t>&lt; .001</t>
        </is>
      </c>
      <c r="E123" t="inlineStr">
        <is>
          <t>[-0.516, -0.426]</t>
        </is>
      </c>
      <c r="F123" t="inlineStr">
        <is>
          <t>&lt; .001</t>
        </is>
      </c>
      <c r="G123" t="inlineStr">
        <is>
          <t>✓</t>
        </is>
      </c>
    </row>
    <row r="124">
      <c r="A124" t="inlineStr">
        <is>
          <t>R_ProS_ROI</t>
        </is>
      </c>
      <c r="B124" t="n">
        <v>-0.527</v>
      </c>
      <c r="C124" t="n">
        <v>1150</v>
      </c>
      <c r="D124" t="inlineStr">
        <is>
          <t>&lt; .001</t>
        </is>
      </c>
      <c r="E124" t="inlineStr">
        <is>
          <t>[-0.568, -0.484]</t>
        </is>
      </c>
      <c r="F124" t="inlineStr">
        <is>
          <t>&lt; .001</t>
        </is>
      </c>
      <c r="G124" t="inlineStr">
        <is>
          <t>✓</t>
        </is>
      </c>
    </row>
    <row r="125">
      <c r="A125" t="inlineStr">
        <is>
          <t>R_PeEc_ROI</t>
        </is>
      </c>
      <c r="B125" t="n">
        <v>-0.445</v>
      </c>
      <c r="C125" t="n">
        <v>1150</v>
      </c>
      <c r="D125" t="inlineStr">
        <is>
          <t>&lt; .001</t>
        </is>
      </c>
      <c r="E125" t="inlineStr">
        <is>
          <t>[-0.490, -0.398]</t>
        </is>
      </c>
      <c r="F125" t="inlineStr">
        <is>
          <t>&lt; .001</t>
        </is>
      </c>
      <c r="G125" t="inlineStr">
        <is>
          <t>✓</t>
        </is>
      </c>
    </row>
    <row r="126">
      <c r="A126" t="inlineStr">
        <is>
          <t>R_STGa_ROI</t>
        </is>
      </c>
      <c r="B126" t="n">
        <v>-0.453</v>
      </c>
      <c r="C126" t="n">
        <v>1150</v>
      </c>
      <c r="D126" t="inlineStr">
        <is>
          <t>&lt; .001</t>
        </is>
      </c>
      <c r="E126" t="inlineStr">
        <is>
          <t>[-0.498, -0.406]</t>
        </is>
      </c>
      <c r="F126" t="inlineStr">
        <is>
          <t>&lt; .001</t>
        </is>
      </c>
      <c r="G126" t="inlineStr">
        <is>
          <t>✓</t>
        </is>
      </c>
    </row>
    <row r="127">
      <c r="A127" t="inlineStr">
        <is>
          <t>R_PBelt_ROI</t>
        </is>
      </c>
      <c r="B127" t="n">
        <v>-0.596</v>
      </c>
      <c r="C127" t="n">
        <v>1150</v>
      </c>
      <c r="D127" t="inlineStr">
        <is>
          <t>&lt; .001</t>
        </is>
      </c>
      <c r="E127" t="inlineStr">
        <is>
          <t>[-0.632, -0.557]</t>
        </is>
      </c>
      <c r="F127" t="inlineStr">
        <is>
          <t>&lt; .001</t>
        </is>
      </c>
      <c r="G127" t="inlineStr">
        <is>
          <t>✓</t>
        </is>
      </c>
    </row>
    <row r="128">
      <c r="A128" t="inlineStr">
        <is>
          <t>R_A5_ROI</t>
        </is>
      </c>
      <c r="B128" t="n">
        <v>-0.618</v>
      </c>
      <c r="C128" t="n">
        <v>1150</v>
      </c>
      <c r="D128" t="inlineStr">
        <is>
          <t>&lt; .001</t>
        </is>
      </c>
      <c r="E128" t="inlineStr">
        <is>
          <t>[-0.652, -0.581]</t>
        </is>
      </c>
      <c r="F128" t="inlineStr">
        <is>
          <t>&lt; .001</t>
        </is>
      </c>
      <c r="G128" t="inlineStr">
        <is>
          <t>✓</t>
        </is>
      </c>
    </row>
    <row r="129">
      <c r="A129" t="inlineStr">
        <is>
          <t>R_PHA1_ROI</t>
        </is>
      </c>
      <c r="B129" t="n">
        <v>-0.389</v>
      </c>
      <c r="C129" t="n">
        <v>1150</v>
      </c>
      <c r="D129" t="inlineStr">
        <is>
          <t>&lt; .001</t>
        </is>
      </c>
      <c r="E129" t="inlineStr">
        <is>
          <t>[-0.437, -0.338]</t>
        </is>
      </c>
      <c r="F129" t="inlineStr">
        <is>
          <t>&lt; .001</t>
        </is>
      </c>
      <c r="G129" t="inlineStr">
        <is>
          <t>✓</t>
        </is>
      </c>
    </row>
    <row r="130">
      <c r="A130" t="inlineStr">
        <is>
          <t>R_PHA3_ROI</t>
        </is>
      </c>
      <c r="B130" t="n">
        <v>-0.498</v>
      </c>
      <c r="C130" t="n">
        <v>1150</v>
      </c>
      <c r="D130" t="inlineStr">
        <is>
          <t>&lt; .001</t>
        </is>
      </c>
      <c r="E130" t="inlineStr">
        <is>
          <t>[-0.540, -0.453]</t>
        </is>
      </c>
      <c r="F130" t="inlineStr">
        <is>
          <t>&lt; .001</t>
        </is>
      </c>
      <c r="G130" t="inlineStr">
        <is>
          <t>✓</t>
        </is>
      </c>
    </row>
    <row r="131">
      <c r="A131" t="inlineStr">
        <is>
          <t>R_STSda_ROI</t>
        </is>
      </c>
      <c r="B131" t="n">
        <v>-0.515</v>
      </c>
      <c r="C131" t="n">
        <v>1150</v>
      </c>
      <c r="D131" t="inlineStr">
        <is>
          <t>&lt; .001</t>
        </is>
      </c>
      <c r="E131" t="inlineStr">
        <is>
          <t>[-0.556, -0.471]</t>
        </is>
      </c>
      <c r="F131" t="inlineStr">
        <is>
          <t>&lt; .001</t>
        </is>
      </c>
      <c r="G131" t="inlineStr">
        <is>
          <t>✓</t>
        </is>
      </c>
    </row>
    <row r="132">
      <c r="A132" t="inlineStr">
        <is>
          <t>R_STSdp_ROI</t>
        </is>
      </c>
      <c r="B132" t="n">
        <v>-0.641</v>
      </c>
      <c r="C132" t="n">
        <v>1150</v>
      </c>
      <c r="D132" t="inlineStr">
        <is>
          <t>&lt; .001</t>
        </is>
      </c>
      <c r="E132" t="inlineStr">
        <is>
          <t>[-0.674, -0.606]</t>
        </is>
      </c>
      <c r="F132" t="inlineStr">
        <is>
          <t>&lt; .001</t>
        </is>
      </c>
      <c r="G132" t="inlineStr">
        <is>
          <t>✓</t>
        </is>
      </c>
    </row>
    <row r="133">
      <c r="A133" t="inlineStr">
        <is>
          <t>R_STSvp_ROI</t>
        </is>
      </c>
      <c r="B133" t="n">
        <v>-0.571</v>
      </c>
      <c r="C133" t="n">
        <v>1150</v>
      </c>
      <c r="D133" t="inlineStr">
        <is>
          <t>&lt; .001</t>
        </is>
      </c>
      <c r="E133" t="inlineStr">
        <is>
          <t>[-0.608, -0.530]</t>
        </is>
      </c>
      <c r="F133" t="inlineStr">
        <is>
          <t>&lt; .001</t>
        </is>
      </c>
      <c r="G133" t="inlineStr">
        <is>
          <t>✓</t>
        </is>
      </c>
    </row>
    <row r="134">
      <c r="A134" t="inlineStr">
        <is>
          <t>R_TGd_ROI</t>
        </is>
      </c>
      <c r="B134" t="n">
        <v>-0.569</v>
      </c>
      <c r="C134" t="n">
        <v>1150</v>
      </c>
      <c r="D134" t="inlineStr">
        <is>
          <t>&lt; .001</t>
        </is>
      </c>
      <c r="E134" t="inlineStr">
        <is>
          <t>[-0.607, -0.528]</t>
        </is>
      </c>
      <c r="F134" t="inlineStr">
        <is>
          <t>&lt; .001</t>
        </is>
      </c>
      <c r="G134" t="inlineStr">
        <is>
          <t>✓</t>
        </is>
      </c>
    </row>
    <row r="135">
      <c r="A135" t="inlineStr">
        <is>
          <t>R_TE1a_ROI</t>
        </is>
      </c>
      <c r="B135" t="n">
        <v>-0.438</v>
      </c>
      <c r="C135" t="n">
        <v>1150</v>
      </c>
      <c r="D135" t="inlineStr">
        <is>
          <t>&lt; .001</t>
        </is>
      </c>
      <c r="E135" t="inlineStr">
        <is>
          <t>[-0.484, -0.390]</t>
        </is>
      </c>
      <c r="F135" t="inlineStr">
        <is>
          <t>&lt; .001</t>
        </is>
      </c>
      <c r="G135" t="inlineStr">
        <is>
          <t>✓</t>
        </is>
      </c>
    </row>
    <row r="136">
      <c r="A136" t="inlineStr">
        <is>
          <t>R_TE1p_ROI</t>
        </is>
      </c>
      <c r="B136" t="n">
        <v>-0.596</v>
      </c>
      <c r="C136" t="n">
        <v>1150</v>
      </c>
      <c r="D136" t="inlineStr">
        <is>
          <t>&lt; .001</t>
        </is>
      </c>
      <c r="E136" t="inlineStr">
        <is>
          <t>[-0.632, -0.557]</t>
        </is>
      </c>
      <c r="F136" t="inlineStr">
        <is>
          <t>&lt; .001</t>
        </is>
      </c>
      <c r="G136" t="inlineStr">
        <is>
          <t>✓</t>
        </is>
      </c>
    </row>
    <row r="137">
      <c r="A137" t="inlineStr">
        <is>
          <t>R_TE2a_ROI</t>
        </is>
      </c>
      <c r="B137" t="n">
        <v>-0.396</v>
      </c>
      <c r="C137" t="n">
        <v>1150</v>
      </c>
      <c r="D137" t="inlineStr">
        <is>
          <t>&lt; .001</t>
        </is>
      </c>
      <c r="E137" t="inlineStr">
        <is>
          <t>[-0.444, -0.346]</t>
        </is>
      </c>
      <c r="F137" t="inlineStr">
        <is>
          <t>&lt; .001</t>
        </is>
      </c>
      <c r="G137" t="inlineStr">
        <is>
          <t>✓</t>
        </is>
      </c>
    </row>
    <row r="138">
      <c r="A138" t="inlineStr">
        <is>
          <t>R_TF_ROI</t>
        </is>
      </c>
      <c r="B138" t="n">
        <v>-0.484</v>
      </c>
      <c r="C138" t="n">
        <v>1150</v>
      </c>
      <c r="D138" t="inlineStr">
        <is>
          <t>&lt; .001</t>
        </is>
      </c>
      <c r="E138" t="inlineStr">
        <is>
          <t>[-0.527, -0.438]</t>
        </is>
      </c>
      <c r="F138" t="inlineStr">
        <is>
          <t>&lt; .001</t>
        </is>
      </c>
      <c r="G138" t="inlineStr">
        <is>
          <t>✓</t>
        </is>
      </c>
    </row>
    <row r="139">
      <c r="A139" t="inlineStr">
        <is>
          <t>R_TE2p_ROI</t>
        </is>
      </c>
      <c r="B139" t="n">
        <v>-0.404</v>
      </c>
      <c r="C139" t="n">
        <v>1150</v>
      </c>
      <c r="D139" t="inlineStr">
        <is>
          <t>&lt; .001</t>
        </is>
      </c>
      <c r="E139" t="inlineStr">
        <is>
          <t>[-0.452, -0.355]</t>
        </is>
      </c>
      <c r="F139" t="inlineStr">
        <is>
          <t>&lt; .001</t>
        </is>
      </c>
      <c r="G139" t="inlineStr">
        <is>
          <t>✓</t>
        </is>
      </c>
    </row>
    <row r="140">
      <c r="A140" t="inlineStr">
        <is>
          <t>R_PHT_ROI</t>
        </is>
      </c>
      <c r="B140" t="n">
        <v>-0.506</v>
      </c>
      <c r="C140" t="n">
        <v>1150</v>
      </c>
      <c r="D140" t="inlineStr">
        <is>
          <t>&lt; .001</t>
        </is>
      </c>
      <c r="E140" t="inlineStr">
        <is>
          <t>[-0.548, -0.461]</t>
        </is>
      </c>
      <c r="F140" t="inlineStr">
        <is>
          <t>&lt; .001</t>
        </is>
      </c>
      <c r="G140" t="inlineStr">
        <is>
          <t>✓</t>
        </is>
      </c>
    </row>
    <row r="141">
      <c r="A141" t="inlineStr">
        <is>
          <t>R_PH_ROI</t>
        </is>
      </c>
      <c r="B141" t="n">
        <v>-0.437</v>
      </c>
      <c r="C141" t="n">
        <v>1150</v>
      </c>
      <c r="D141" t="inlineStr">
        <is>
          <t>&lt; .001</t>
        </is>
      </c>
      <c r="E141" t="inlineStr">
        <is>
          <t>[-0.482, -0.389]</t>
        </is>
      </c>
      <c r="F141" t="inlineStr">
        <is>
          <t>&lt; .001</t>
        </is>
      </c>
      <c r="G141" t="inlineStr">
        <is>
          <t>✓</t>
        </is>
      </c>
    </row>
    <row r="142">
      <c r="A142" t="inlineStr">
        <is>
          <t>R_TPOJ1_ROI</t>
        </is>
      </c>
      <c r="B142" t="n">
        <v>-0.666</v>
      </c>
      <c r="C142" t="n">
        <v>1150</v>
      </c>
      <c r="D142" t="inlineStr">
        <is>
          <t>&lt; .001</t>
        </is>
      </c>
      <c r="E142" t="inlineStr">
        <is>
          <t>[-0.697, -0.632]</t>
        </is>
      </c>
      <c r="F142" t="inlineStr">
        <is>
          <t>&lt; .001</t>
        </is>
      </c>
      <c r="G142" t="inlineStr">
        <is>
          <t>✓</t>
        </is>
      </c>
    </row>
    <row r="143">
      <c r="A143" t="inlineStr">
        <is>
          <t>R_TPOJ2_ROI</t>
        </is>
      </c>
      <c r="B143" t="n">
        <v>-0.569</v>
      </c>
      <c r="C143" t="n">
        <v>1150</v>
      </c>
      <c r="D143" t="inlineStr">
        <is>
          <t>&lt; .001</t>
        </is>
      </c>
      <c r="E143" t="inlineStr">
        <is>
          <t>[-0.607, -0.529]</t>
        </is>
      </c>
      <c r="F143" t="inlineStr">
        <is>
          <t>&lt; .001</t>
        </is>
      </c>
      <c r="G143" t="inlineStr">
        <is>
          <t>✓</t>
        </is>
      </c>
    </row>
    <row r="144">
      <c r="A144" t="inlineStr">
        <is>
          <t>R_TPOJ3_ROI</t>
        </is>
      </c>
      <c r="B144" t="n">
        <v>-0.535</v>
      </c>
      <c r="C144" t="n">
        <v>1150</v>
      </c>
      <c r="D144" t="inlineStr">
        <is>
          <t>&lt; .001</t>
        </is>
      </c>
      <c r="E144" t="inlineStr">
        <is>
          <t>[-0.575, -0.493]</t>
        </is>
      </c>
      <c r="F144" t="inlineStr">
        <is>
          <t>&lt; .001</t>
        </is>
      </c>
      <c r="G144" t="inlineStr">
        <is>
          <t>✓</t>
        </is>
      </c>
    </row>
    <row r="145">
      <c r="A145" t="inlineStr">
        <is>
          <t>R_DVT_ROI</t>
        </is>
      </c>
      <c r="B145" t="n">
        <v>-0.632</v>
      </c>
      <c r="C145" t="n">
        <v>1150</v>
      </c>
      <c r="D145" t="inlineStr">
        <is>
          <t>&lt; .001</t>
        </is>
      </c>
      <c r="E145" t="inlineStr">
        <is>
          <t>[-0.665, -0.596]</t>
        </is>
      </c>
      <c r="F145" t="inlineStr">
        <is>
          <t>&lt; .001</t>
        </is>
      </c>
      <c r="G145" t="inlineStr">
        <is>
          <t>✓</t>
        </is>
      </c>
    </row>
    <row r="146">
      <c r="A146" t="inlineStr">
        <is>
          <t>R_PGp_ROI</t>
        </is>
      </c>
      <c r="B146" t="n">
        <v>-0.575</v>
      </c>
      <c r="C146" t="n">
        <v>1150</v>
      </c>
      <c r="D146" t="inlineStr">
        <is>
          <t>&lt; .001</t>
        </is>
      </c>
      <c r="E146" t="inlineStr">
        <is>
          <t>[-0.613, -0.535]</t>
        </is>
      </c>
      <c r="F146" t="inlineStr">
        <is>
          <t>&lt; .001</t>
        </is>
      </c>
      <c r="G146" t="inlineStr">
        <is>
          <t>✓</t>
        </is>
      </c>
    </row>
    <row r="147">
      <c r="A147" t="inlineStr">
        <is>
          <t>R_IP2_ROI</t>
        </is>
      </c>
      <c r="B147" t="n">
        <v>-0.619</v>
      </c>
      <c r="C147" t="n">
        <v>1150</v>
      </c>
      <c r="D147" t="inlineStr">
        <is>
          <t>&lt; .001</t>
        </is>
      </c>
      <c r="E147" t="inlineStr">
        <is>
          <t>[-0.653, -0.582]</t>
        </is>
      </c>
      <c r="F147" t="inlineStr">
        <is>
          <t>&lt; .001</t>
        </is>
      </c>
      <c r="G147" t="inlineStr">
        <is>
          <t>✓</t>
        </is>
      </c>
    </row>
    <row r="148">
      <c r="A148" t="inlineStr">
        <is>
          <t>R_IP1_ROI</t>
        </is>
      </c>
      <c r="B148" t="n">
        <v>-0.608</v>
      </c>
      <c r="C148" t="n">
        <v>1150</v>
      </c>
      <c r="D148" t="inlineStr">
        <is>
          <t>&lt; .001</t>
        </is>
      </c>
      <c r="E148" t="inlineStr">
        <is>
          <t>[-0.643, -0.570]</t>
        </is>
      </c>
      <c r="F148" t="inlineStr">
        <is>
          <t>&lt; .001</t>
        </is>
      </c>
      <c r="G148" t="inlineStr">
        <is>
          <t>✓</t>
        </is>
      </c>
    </row>
    <row r="149">
      <c r="A149" t="inlineStr">
        <is>
          <t>R_IP0_ROI</t>
        </is>
      </c>
      <c r="B149" t="n">
        <v>-0.537</v>
      </c>
      <c r="C149" t="n">
        <v>1150</v>
      </c>
      <c r="D149" t="inlineStr">
        <is>
          <t>&lt; .001</t>
        </is>
      </c>
      <c r="E149" t="inlineStr">
        <is>
          <t>[-0.577, -0.495]</t>
        </is>
      </c>
      <c r="F149" t="inlineStr">
        <is>
          <t>&lt; .001</t>
        </is>
      </c>
      <c r="G149" t="inlineStr">
        <is>
          <t>✓</t>
        </is>
      </c>
    </row>
    <row r="150">
      <c r="A150" t="inlineStr">
        <is>
          <t>R_PFop_ROI</t>
        </is>
      </c>
      <c r="B150" t="n">
        <v>-0.543</v>
      </c>
      <c r="C150" t="n">
        <v>1150</v>
      </c>
      <c r="D150" t="inlineStr">
        <is>
          <t>&lt; .001</t>
        </is>
      </c>
      <c r="E150" t="inlineStr">
        <is>
          <t>[-0.582, -0.500]</t>
        </is>
      </c>
      <c r="F150" t="inlineStr">
        <is>
          <t>&lt; .001</t>
        </is>
      </c>
      <c r="G150" t="inlineStr">
        <is>
          <t>✓</t>
        </is>
      </c>
    </row>
    <row r="151">
      <c r="A151" t="inlineStr">
        <is>
          <t>R_PF_ROI</t>
        </is>
      </c>
      <c r="B151" t="n">
        <v>-0.628</v>
      </c>
      <c r="C151" t="n">
        <v>1150</v>
      </c>
      <c r="D151" t="inlineStr">
        <is>
          <t>&lt; .001</t>
        </is>
      </c>
      <c r="E151" t="inlineStr">
        <is>
          <t>[-0.661, -0.591]</t>
        </is>
      </c>
      <c r="F151" t="inlineStr">
        <is>
          <t>&lt; .001</t>
        </is>
      </c>
      <c r="G151" t="inlineStr">
        <is>
          <t>✓</t>
        </is>
      </c>
    </row>
    <row r="152">
      <c r="A152" t="inlineStr">
        <is>
          <t>R_PFm_ROI</t>
        </is>
      </c>
      <c r="B152" t="n">
        <v>-0.6860000000000001</v>
      </c>
      <c r="C152" t="n">
        <v>1150</v>
      </c>
      <c r="D152" t="inlineStr">
        <is>
          <t>&lt; .001</t>
        </is>
      </c>
      <c r="E152" t="inlineStr">
        <is>
          <t>[-0.715, -0.654]</t>
        </is>
      </c>
      <c r="F152" t="inlineStr">
        <is>
          <t>&lt; .001</t>
        </is>
      </c>
      <c r="G152" t="inlineStr">
        <is>
          <t>✓</t>
        </is>
      </c>
    </row>
    <row r="153">
      <c r="A153" t="inlineStr">
        <is>
          <t>R_PGi_ROI</t>
        </is>
      </c>
      <c r="B153" t="n">
        <v>-0.648</v>
      </c>
      <c r="C153" t="n">
        <v>1150</v>
      </c>
      <c r="D153" t="inlineStr">
        <is>
          <t>&lt; .001</t>
        </is>
      </c>
      <c r="E153" t="inlineStr">
        <is>
          <t>[-0.681, -0.613]</t>
        </is>
      </c>
      <c r="F153" t="inlineStr">
        <is>
          <t>&lt; .001</t>
        </is>
      </c>
      <c r="G153" t="inlineStr">
        <is>
          <t>✓</t>
        </is>
      </c>
    </row>
    <row r="154">
      <c r="A154" t="inlineStr">
        <is>
          <t>R_PGs_ROI</t>
        </is>
      </c>
      <c r="B154" t="n">
        <v>-0.636</v>
      </c>
      <c r="C154" t="n">
        <v>1150</v>
      </c>
      <c r="D154" t="inlineStr">
        <is>
          <t>&lt; .001</t>
        </is>
      </c>
      <c r="E154" t="inlineStr">
        <is>
          <t>[-0.669, -0.600]</t>
        </is>
      </c>
      <c r="F154" t="inlineStr">
        <is>
          <t>&lt; .001</t>
        </is>
      </c>
      <c r="G154" t="inlineStr">
        <is>
          <t>✓</t>
        </is>
      </c>
    </row>
    <row r="155">
      <c r="A155" t="inlineStr">
        <is>
          <t>R_V6A_ROI</t>
        </is>
      </c>
      <c r="B155" t="n">
        <v>-0.425</v>
      </c>
      <c r="C155" t="n">
        <v>1150</v>
      </c>
      <c r="D155" t="inlineStr">
        <is>
          <t>&lt; .001</t>
        </is>
      </c>
      <c r="E155" t="inlineStr">
        <is>
          <t>[-0.472, -0.377]</t>
        </is>
      </c>
      <c r="F155" t="inlineStr">
        <is>
          <t>&lt; .001</t>
        </is>
      </c>
      <c r="G155" t="inlineStr">
        <is>
          <t>✓</t>
        </is>
      </c>
    </row>
    <row r="156">
      <c r="A156" t="inlineStr">
        <is>
          <t>R_VMV1_ROI</t>
        </is>
      </c>
      <c r="B156" t="n">
        <v>-0.376</v>
      </c>
      <c r="C156" t="n">
        <v>1150</v>
      </c>
      <c r="D156" t="inlineStr">
        <is>
          <t>&lt; .001</t>
        </is>
      </c>
      <c r="E156" t="inlineStr">
        <is>
          <t>[-0.424, -0.325]</t>
        </is>
      </c>
      <c r="F156" t="inlineStr">
        <is>
          <t>&lt; .001</t>
        </is>
      </c>
      <c r="G156" t="inlineStr">
        <is>
          <t>✓</t>
        </is>
      </c>
    </row>
    <row r="157">
      <c r="A157" t="inlineStr">
        <is>
          <t>R_VMV3_ROI</t>
        </is>
      </c>
      <c r="B157" t="n">
        <v>-0.396</v>
      </c>
      <c r="C157" t="n">
        <v>1150</v>
      </c>
      <c r="D157" t="inlineStr">
        <is>
          <t>&lt; .001</t>
        </is>
      </c>
      <c r="E157" t="inlineStr">
        <is>
          <t>[-0.443, -0.346]</t>
        </is>
      </c>
      <c r="F157" t="inlineStr">
        <is>
          <t>&lt; .001</t>
        </is>
      </c>
      <c r="G157" t="inlineStr">
        <is>
          <t>✓</t>
        </is>
      </c>
    </row>
    <row r="158">
      <c r="A158" t="inlineStr">
        <is>
          <t>R_PHA2_ROI</t>
        </is>
      </c>
      <c r="B158" t="n">
        <v>-0.429</v>
      </c>
      <c r="C158" t="n">
        <v>1150</v>
      </c>
      <c r="D158" t="inlineStr">
        <is>
          <t>&lt; .001</t>
        </is>
      </c>
      <c r="E158" t="inlineStr">
        <is>
          <t>[-0.475, -0.381]</t>
        </is>
      </c>
      <c r="F158" t="inlineStr">
        <is>
          <t>&lt; .001</t>
        </is>
      </c>
      <c r="G158" t="inlineStr">
        <is>
          <t>✓</t>
        </is>
      </c>
    </row>
    <row r="159">
      <c r="A159" t="inlineStr">
        <is>
          <t>R_V4t_ROI</t>
        </is>
      </c>
      <c r="B159" t="n">
        <v>-0.341</v>
      </c>
      <c r="C159" t="n">
        <v>1150</v>
      </c>
      <c r="D159" t="inlineStr">
        <is>
          <t>&lt; .001</t>
        </is>
      </c>
      <c r="E159" t="inlineStr">
        <is>
          <t>[-0.391, -0.289]</t>
        </is>
      </c>
      <c r="F159" t="inlineStr">
        <is>
          <t>&lt; .001</t>
        </is>
      </c>
      <c r="G159" t="inlineStr">
        <is>
          <t>✓</t>
        </is>
      </c>
    </row>
    <row r="160">
      <c r="A160" t="inlineStr">
        <is>
          <t>R_FST_ROI</t>
        </is>
      </c>
      <c r="B160" t="n">
        <v>-0.471</v>
      </c>
      <c r="C160" t="n">
        <v>1150</v>
      </c>
      <c r="D160" t="inlineStr">
        <is>
          <t>&lt; .001</t>
        </is>
      </c>
      <c r="E160" t="inlineStr">
        <is>
          <t>[-0.515, -0.425]</t>
        </is>
      </c>
      <c r="F160" t="inlineStr">
        <is>
          <t>&lt; .001</t>
        </is>
      </c>
      <c r="G160" t="inlineStr">
        <is>
          <t>✓</t>
        </is>
      </c>
    </row>
    <row r="161">
      <c r="A161" t="inlineStr">
        <is>
          <t>R_V3CD_ROI</t>
        </is>
      </c>
      <c r="B161" t="n">
        <v>-0.528</v>
      </c>
      <c r="C161" t="n">
        <v>1150</v>
      </c>
      <c r="D161" t="inlineStr">
        <is>
          <t>&lt; .001</t>
        </is>
      </c>
      <c r="E161" t="inlineStr">
        <is>
          <t>[-0.568, -0.485]</t>
        </is>
      </c>
      <c r="F161" t="inlineStr">
        <is>
          <t>&lt; .001</t>
        </is>
      </c>
      <c r="G161" t="inlineStr">
        <is>
          <t>✓</t>
        </is>
      </c>
    </row>
    <row r="162">
      <c r="A162" t="inlineStr">
        <is>
          <t>R_LO3_ROI</t>
        </is>
      </c>
      <c r="B162" t="n">
        <v>-0.487</v>
      </c>
      <c r="C162" t="n">
        <v>1150</v>
      </c>
      <c r="D162" t="inlineStr">
        <is>
          <t>&lt; .001</t>
        </is>
      </c>
      <c r="E162" t="inlineStr">
        <is>
          <t>[-0.530, -0.442]</t>
        </is>
      </c>
      <c r="F162" t="inlineStr">
        <is>
          <t>&lt; .001</t>
        </is>
      </c>
      <c r="G162" t="inlineStr">
        <is>
          <t>✓</t>
        </is>
      </c>
    </row>
    <row r="163">
      <c r="A163" t="inlineStr">
        <is>
          <t>R_VMV2_ROI</t>
        </is>
      </c>
      <c r="B163" t="n">
        <v>-0.582</v>
      </c>
      <c r="C163" t="n">
        <v>1150</v>
      </c>
      <c r="D163" t="inlineStr">
        <is>
          <t>&lt; .001</t>
        </is>
      </c>
      <c r="E163" t="inlineStr">
        <is>
          <t>[-0.619, -0.543]</t>
        </is>
      </c>
      <c r="F163" t="inlineStr">
        <is>
          <t>&lt; .001</t>
        </is>
      </c>
      <c r="G163" t="inlineStr">
        <is>
          <t>✓</t>
        </is>
      </c>
    </row>
    <row r="164">
      <c r="A164" t="inlineStr">
        <is>
          <t>R_31pd_ROI</t>
        </is>
      </c>
      <c r="B164" t="n">
        <v>-0.509</v>
      </c>
      <c r="C164" t="n">
        <v>1150</v>
      </c>
      <c r="D164" t="inlineStr">
        <is>
          <t>&lt; .001</t>
        </is>
      </c>
      <c r="E164" t="inlineStr">
        <is>
          <t>[-0.551, -0.465]</t>
        </is>
      </c>
      <c r="F164" t="inlineStr">
        <is>
          <t>&lt; .001</t>
        </is>
      </c>
      <c r="G164" t="inlineStr">
        <is>
          <t>✓</t>
        </is>
      </c>
    </row>
    <row r="165">
      <c r="A165" t="inlineStr">
        <is>
          <t>R_31a_ROI</t>
        </is>
      </c>
      <c r="B165" t="n">
        <v>-0.386</v>
      </c>
      <c r="C165" t="n">
        <v>1150</v>
      </c>
      <c r="D165" t="inlineStr">
        <is>
          <t>&lt; .001</t>
        </is>
      </c>
      <c r="E165" t="inlineStr">
        <is>
          <t>[-0.434, -0.335]</t>
        </is>
      </c>
      <c r="F165" t="inlineStr">
        <is>
          <t>&lt; .001</t>
        </is>
      </c>
      <c r="G165" t="inlineStr">
        <is>
          <t>✓</t>
        </is>
      </c>
    </row>
    <row r="166">
      <c r="A166" t="inlineStr">
        <is>
          <t>R_VVC_ROI</t>
        </is>
      </c>
      <c r="B166" t="n">
        <v>-0.42</v>
      </c>
      <c r="C166" t="n">
        <v>1150</v>
      </c>
      <c r="D166" t="inlineStr">
        <is>
          <t>&lt; .001</t>
        </is>
      </c>
      <c r="E166" t="inlineStr">
        <is>
          <t>[-0.467, -0.371]</t>
        </is>
      </c>
      <c r="F166" t="inlineStr">
        <is>
          <t>&lt; .001</t>
        </is>
      </c>
      <c r="G166" t="inlineStr">
        <is>
          <t>✓</t>
        </is>
      </c>
    </row>
    <row r="167">
      <c r="A167" t="inlineStr">
        <is>
          <t>R_25_ROI</t>
        </is>
      </c>
      <c r="B167" t="n">
        <v>-0.26</v>
      </c>
      <c r="C167" t="n">
        <v>1150</v>
      </c>
      <c r="D167" t="inlineStr">
        <is>
          <t>&lt; .001</t>
        </is>
      </c>
      <c r="E167" t="inlineStr">
        <is>
          <t>[-0.313, -0.205]</t>
        </is>
      </c>
      <c r="F167" t="inlineStr">
        <is>
          <t>&lt; .001</t>
        </is>
      </c>
      <c r="G167" t="inlineStr">
        <is>
          <t>✓</t>
        </is>
      </c>
    </row>
    <row r="168">
      <c r="A168" t="inlineStr">
        <is>
          <t>R_s32_ROI</t>
        </is>
      </c>
      <c r="B168" t="n">
        <v>0.225</v>
      </c>
      <c r="C168" t="n">
        <v>1150</v>
      </c>
      <c r="D168" t="inlineStr">
        <is>
          <t>&lt; .001</t>
        </is>
      </c>
      <c r="E168" t="inlineStr">
        <is>
          <t>[0.169, 0.279]</t>
        </is>
      </c>
      <c r="F168" t="inlineStr">
        <is>
          <t>&lt; .001</t>
        </is>
      </c>
      <c r="G168" t="inlineStr">
        <is>
          <t>✓</t>
        </is>
      </c>
    </row>
    <row r="169">
      <c r="A169" t="inlineStr">
        <is>
          <t>R_pOFC_ROI</t>
        </is>
      </c>
      <c r="B169" t="n">
        <v>-0.297</v>
      </c>
      <c r="C169" t="n">
        <v>1150</v>
      </c>
      <c r="D169" t="inlineStr">
        <is>
          <t>&lt; .001</t>
        </is>
      </c>
      <c r="E169" t="inlineStr">
        <is>
          <t>[-0.349, -0.243]</t>
        </is>
      </c>
      <c r="F169" t="inlineStr">
        <is>
          <t>&lt; .001</t>
        </is>
      </c>
      <c r="G169" t="inlineStr">
        <is>
          <t>✓</t>
        </is>
      </c>
    </row>
    <row r="170">
      <c r="A170" t="inlineStr">
        <is>
          <t>R_PoI1_ROI</t>
        </is>
      </c>
      <c r="B170" t="n">
        <v>-0.392</v>
      </c>
      <c r="C170" t="n">
        <v>1150</v>
      </c>
      <c r="D170" t="inlineStr">
        <is>
          <t>&lt; .001</t>
        </is>
      </c>
      <c r="E170" t="inlineStr">
        <is>
          <t>[-0.440, -0.342]</t>
        </is>
      </c>
      <c r="F170" t="inlineStr">
        <is>
          <t>&lt; .001</t>
        </is>
      </c>
      <c r="G170" t="inlineStr">
        <is>
          <t>✓</t>
        </is>
      </c>
    </row>
    <row r="171">
      <c r="A171" t="inlineStr">
        <is>
          <t>R_Ig_ROI</t>
        </is>
      </c>
      <c r="B171" t="n">
        <v>-0.478</v>
      </c>
      <c r="C171" t="n">
        <v>1150</v>
      </c>
      <c r="D171" t="inlineStr">
        <is>
          <t>&lt; .001</t>
        </is>
      </c>
      <c r="E171" t="inlineStr">
        <is>
          <t>[-0.522, -0.432]</t>
        </is>
      </c>
      <c r="F171" t="inlineStr">
        <is>
          <t>&lt; .001</t>
        </is>
      </c>
      <c r="G171" t="inlineStr">
        <is>
          <t>✓</t>
        </is>
      </c>
    </row>
    <row r="172">
      <c r="A172" t="inlineStr">
        <is>
          <t>R_FOP5_ROI</t>
        </is>
      </c>
      <c r="B172" t="n">
        <v>-0.623</v>
      </c>
      <c r="C172" t="n">
        <v>1150</v>
      </c>
      <c r="D172" t="inlineStr">
        <is>
          <t>&lt; .001</t>
        </is>
      </c>
      <c r="E172" t="inlineStr">
        <is>
          <t>[-0.657, -0.587]</t>
        </is>
      </c>
      <c r="F172" t="inlineStr">
        <is>
          <t>&lt; .001</t>
        </is>
      </c>
      <c r="G172" t="inlineStr">
        <is>
          <t>✓</t>
        </is>
      </c>
    </row>
    <row r="173">
      <c r="A173" t="inlineStr">
        <is>
          <t>R_p10p_ROI</t>
        </is>
      </c>
      <c r="B173" t="n">
        <v>-0.429</v>
      </c>
      <c r="C173" t="n">
        <v>1150</v>
      </c>
      <c r="D173" t="inlineStr">
        <is>
          <t>&lt; .001</t>
        </is>
      </c>
      <c r="E173" t="inlineStr">
        <is>
          <t>[-0.475, -0.380]</t>
        </is>
      </c>
      <c r="F173" t="inlineStr">
        <is>
          <t>&lt; .001</t>
        </is>
      </c>
      <c r="G173" t="inlineStr">
        <is>
          <t>✓</t>
        </is>
      </c>
    </row>
    <row r="174">
      <c r="A174" t="inlineStr">
        <is>
          <t>R_p47r_ROI</t>
        </is>
      </c>
      <c r="B174" t="n">
        <v>-0.494</v>
      </c>
      <c r="C174" t="n">
        <v>1150</v>
      </c>
      <c r="D174" t="inlineStr">
        <is>
          <t>&lt; .001</t>
        </is>
      </c>
      <c r="E174" t="inlineStr">
        <is>
          <t>[-0.537, -0.449]</t>
        </is>
      </c>
      <c r="F174" t="inlineStr">
        <is>
          <t>&lt; .001</t>
        </is>
      </c>
      <c r="G174" t="inlineStr">
        <is>
          <t>✓</t>
        </is>
      </c>
    </row>
    <row r="175">
      <c r="A175" t="inlineStr">
        <is>
          <t>R_TGv_ROI</t>
        </is>
      </c>
      <c r="B175" t="n">
        <v>-0.331</v>
      </c>
      <c r="C175" t="n">
        <v>1150</v>
      </c>
      <c r="D175" t="inlineStr">
        <is>
          <t>&lt; .001</t>
        </is>
      </c>
      <c r="E175" t="inlineStr">
        <is>
          <t>[-0.381, -0.278]</t>
        </is>
      </c>
      <c r="F175" t="inlineStr">
        <is>
          <t>&lt; .001</t>
        </is>
      </c>
      <c r="G175" t="inlineStr">
        <is>
          <t>✓</t>
        </is>
      </c>
    </row>
    <row r="176">
      <c r="A176" t="inlineStr">
        <is>
          <t>R_MBelt_ROI</t>
        </is>
      </c>
      <c r="B176" t="n">
        <v>-0.59</v>
      </c>
      <c r="C176" t="n">
        <v>1150</v>
      </c>
      <c r="D176" t="inlineStr">
        <is>
          <t>&lt; .001</t>
        </is>
      </c>
      <c r="E176" t="inlineStr">
        <is>
          <t>[-0.627, -0.551]</t>
        </is>
      </c>
      <c r="F176" t="inlineStr">
        <is>
          <t>&lt; .001</t>
        </is>
      </c>
      <c r="G176" t="inlineStr">
        <is>
          <t>✓</t>
        </is>
      </c>
    </row>
    <row r="177">
      <c r="A177" t="inlineStr">
        <is>
          <t>R_LBelt_ROI</t>
        </is>
      </c>
      <c r="B177" t="n">
        <v>-0.635</v>
      </c>
      <c r="C177" t="n">
        <v>1150</v>
      </c>
      <c r="D177" t="inlineStr">
        <is>
          <t>&lt; .001</t>
        </is>
      </c>
      <c r="E177" t="inlineStr">
        <is>
          <t>[-0.668, -0.599]</t>
        </is>
      </c>
      <c r="F177" t="inlineStr">
        <is>
          <t>&lt; .001</t>
        </is>
      </c>
      <c r="G177" t="inlineStr">
        <is>
          <t>✓</t>
        </is>
      </c>
    </row>
    <row r="178">
      <c r="A178" t="inlineStr">
        <is>
          <t>R_A4_ROI</t>
        </is>
      </c>
      <c r="B178" t="n">
        <v>-0.623</v>
      </c>
      <c r="C178" t="n">
        <v>1150</v>
      </c>
      <c r="D178" t="inlineStr">
        <is>
          <t>&lt; .001</t>
        </is>
      </c>
      <c r="E178" t="inlineStr">
        <is>
          <t>[-0.658, -0.587]</t>
        </is>
      </c>
      <c r="F178" t="inlineStr">
        <is>
          <t>&lt; .001</t>
        </is>
      </c>
      <c r="G178" t="inlineStr">
        <is>
          <t>✓</t>
        </is>
      </c>
    </row>
    <row r="179">
      <c r="A179" t="inlineStr">
        <is>
          <t>R_STSva_ROI</t>
        </is>
      </c>
      <c r="B179" t="n">
        <v>-0.449</v>
      </c>
      <c r="C179" t="n">
        <v>1150</v>
      </c>
      <c r="D179" t="inlineStr">
        <is>
          <t>&lt; .001</t>
        </is>
      </c>
      <c r="E179" t="inlineStr">
        <is>
          <t>[-0.494, -0.402]</t>
        </is>
      </c>
      <c r="F179" t="inlineStr">
        <is>
          <t>&lt; .001</t>
        </is>
      </c>
      <c r="G179" t="inlineStr">
        <is>
          <t>✓</t>
        </is>
      </c>
    </row>
    <row r="180">
      <c r="A180" t="inlineStr">
        <is>
          <t>R_TE1m_ROI</t>
        </is>
      </c>
      <c r="B180" t="n">
        <v>-0.437</v>
      </c>
      <c r="C180" t="n">
        <v>1150</v>
      </c>
      <c r="D180" t="inlineStr">
        <is>
          <t>&lt; .001</t>
        </is>
      </c>
      <c r="E180" t="inlineStr">
        <is>
          <t>[-0.483, -0.389]</t>
        </is>
      </c>
      <c r="F180" t="inlineStr">
        <is>
          <t>&lt; .001</t>
        </is>
      </c>
      <c r="G180" t="inlineStr">
        <is>
          <t>✓</t>
        </is>
      </c>
    </row>
    <row r="181">
      <c r="A181" t="inlineStr">
        <is>
          <t>R_PI_ROI</t>
        </is>
      </c>
      <c r="B181" t="n">
        <v>-0.525</v>
      </c>
      <c r="C181" t="n">
        <v>1150</v>
      </c>
      <c r="D181" t="inlineStr">
        <is>
          <t>&lt; .001</t>
        </is>
      </c>
      <c r="E181" t="inlineStr">
        <is>
          <t>[-0.566, -0.482]</t>
        </is>
      </c>
      <c r="F181" t="inlineStr">
        <is>
          <t>&lt; .001</t>
        </is>
      </c>
      <c r="G181" t="inlineStr">
        <is>
          <t>✓</t>
        </is>
      </c>
    </row>
    <row r="182">
      <c r="A182" t="inlineStr">
        <is>
          <t>R_a32pr_ROI</t>
        </is>
      </c>
      <c r="B182" t="n">
        <v>-0.59</v>
      </c>
      <c r="C182" t="n">
        <v>1150</v>
      </c>
      <c r="D182" t="inlineStr">
        <is>
          <t>&lt; .001</t>
        </is>
      </c>
      <c r="E182" t="inlineStr">
        <is>
          <t>[-0.626, -0.551]</t>
        </is>
      </c>
      <c r="F182" t="inlineStr">
        <is>
          <t>&lt; .001</t>
        </is>
      </c>
      <c r="G182" t="inlineStr">
        <is>
          <t>✓</t>
        </is>
      </c>
    </row>
    <row r="183">
      <c r="A183" t="inlineStr">
        <is>
          <t>R_p24_ROI</t>
        </is>
      </c>
      <c r="B183" t="n">
        <v>-0.216</v>
      </c>
      <c r="C183" t="n">
        <v>1150</v>
      </c>
      <c r="D183" t="inlineStr">
        <is>
          <t>&lt; .001</t>
        </is>
      </c>
      <c r="E183" t="inlineStr">
        <is>
          <t>[-0.271, -0.160]</t>
        </is>
      </c>
      <c r="F183" t="inlineStr">
        <is>
          <t>&lt; .001</t>
        </is>
      </c>
      <c r="G183" t="inlineStr">
        <is>
          <t>✓</t>
        </is>
      </c>
    </row>
    <row r="184">
      <c r="A184" t="inlineStr">
        <is>
          <t>L_V1_ROI</t>
        </is>
      </c>
      <c r="B184" t="n">
        <v>-0.581</v>
      </c>
      <c r="C184" t="n">
        <v>1150</v>
      </c>
      <c r="D184" t="inlineStr">
        <is>
          <t>&lt; .001</t>
        </is>
      </c>
      <c r="E184" t="inlineStr">
        <is>
          <t>[-0.618, -0.541]</t>
        </is>
      </c>
      <c r="F184" t="inlineStr">
        <is>
          <t>&lt; .001</t>
        </is>
      </c>
      <c r="G184" t="inlineStr">
        <is>
          <t>✓</t>
        </is>
      </c>
    </row>
    <row r="185">
      <c r="A185" t="inlineStr">
        <is>
          <t>L_MST_ROI</t>
        </is>
      </c>
      <c r="B185" t="n">
        <v>-0.551</v>
      </c>
      <c r="C185" t="n">
        <v>1150</v>
      </c>
      <c r="D185" t="inlineStr">
        <is>
          <t>&lt; .001</t>
        </is>
      </c>
      <c r="E185" t="inlineStr">
        <is>
          <t>[-0.590, -0.510]</t>
        </is>
      </c>
      <c r="F185" t="inlineStr">
        <is>
          <t>&lt; .001</t>
        </is>
      </c>
      <c r="G185" t="inlineStr">
        <is>
          <t>✓</t>
        </is>
      </c>
    </row>
    <row r="186">
      <c r="A186" t="inlineStr">
        <is>
          <t>L_V6_ROI</t>
        </is>
      </c>
      <c r="B186" t="n">
        <v>-0.504</v>
      </c>
      <c r="C186" t="n">
        <v>1150</v>
      </c>
      <c r="D186" t="inlineStr">
        <is>
          <t>&lt; .001</t>
        </is>
      </c>
      <c r="E186" t="inlineStr">
        <is>
          <t>[-0.546, -0.459]</t>
        </is>
      </c>
      <c r="F186" t="inlineStr">
        <is>
          <t>&lt; .001</t>
        </is>
      </c>
      <c r="G186" t="inlineStr">
        <is>
          <t>✓</t>
        </is>
      </c>
    </row>
    <row r="187">
      <c r="A187" t="inlineStr">
        <is>
          <t>L_V2_ROI</t>
        </is>
      </c>
      <c r="B187" t="n">
        <v>-0.501</v>
      </c>
      <c r="C187" t="n">
        <v>1150</v>
      </c>
      <c r="D187" t="inlineStr">
        <is>
          <t>&lt; .001</t>
        </is>
      </c>
      <c r="E187" t="inlineStr">
        <is>
          <t>[-0.543, -0.457]</t>
        </is>
      </c>
      <c r="F187" t="inlineStr">
        <is>
          <t>&lt; .001</t>
        </is>
      </c>
      <c r="G187" t="inlineStr">
        <is>
          <t>✓</t>
        </is>
      </c>
    </row>
    <row r="188">
      <c r="A188" t="inlineStr">
        <is>
          <t>L_V3_ROI</t>
        </is>
      </c>
      <c r="B188" t="n">
        <v>-0.5570000000000001</v>
      </c>
      <c r="C188" t="n">
        <v>1150</v>
      </c>
      <c r="D188" t="inlineStr">
        <is>
          <t>&lt; .001</t>
        </is>
      </c>
      <c r="E188" t="inlineStr">
        <is>
          <t>[-0.596, -0.516]</t>
        </is>
      </c>
      <c r="F188" t="inlineStr">
        <is>
          <t>&lt; .001</t>
        </is>
      </c>
      <c r="G188" t="inlineStr">
        <is>
          <t>✓</t>
        </is>
      </c>
    </row>
    <row r="189">
      <c r="A189" t="inlineStr">
        <is>
          <t>L_V4_ROI</t>
        </is>
      </c>
      <c r="B189" t="n">
        <v>-0.5679999999999999</v>
      </c>
      <c r="C189" t="n">
        <v>1150</v>
      </c>
      <c r="D189" t="inlineStr">
        <is>
          <t>&lt; .001</t>
        </is>
      </c>
      <c r="E189" t="inlineStr">
        <is>
          <t>[-0.606, -0.528]</t>
        </is>
      </c>
      <c r="F189" t="inlineStr">
        <is>
          <t>&lt; .001</t>
        </is>
      </c>
      <c r="G189" t="inlineStr">
        <is>
          <t>✓</t>
        </is>
      </c>
    </row>
    <row r="190">
      <c r="A190" t="inlineStr">
        <is>
          <t>L_V8_ROI</t>
        </is>
      </c>
      <c r="B190" t="n">
        <v>-0.314</v>
      </c>
      <c r="C190" t="n">
        <v>1150</v>
      </c>
      <c r="D190" t="inlineStr">
        <is>
          <t>&lt; .001</t>
        </is>
      </c>
      <c r="E190" t="inlineStr">
        <is>
          <t>[-0.366, -0.261]</t>
        </is>
      </c>
      <c r="F190" t="inlineStr">
        <is>
          <t>&lt; .001</t>
        </is>
      </c>
      <c r="G190" t="inlineStr">
        <is>
          <t>✓</t>
        </is>
      </c>
    </row>
    <row r="191">
      <c r="A191" t="inlineStr">
        <is>
          <t>L_4_ROI</t>
        </is>
      </c>
      <c r="B191" t="n">
        <v>-0.696</v>
      </c>
      <c r="C191" t="n">
        <v>1150</v>
      </c>
      <c r="D191" t="inlineStr">
        <is>
          <t>&lt; .001</t>
        </is>
      </c>
      <c r="E191" t="inlineStr">
        <is>
          <t>[-0.724, -0.664]</t>
        </is>
      </c>
      <c r="F191" t="inlineStr">
        <is>
          <t>&lt; .001</t>
        </is>
      </c>
      <c r="G191" t="inlineStr">
        <is>
          <t>✓</t>
        </is>
      </c>
    </row>
    <row r="192">
      <c r="A192" t="inlineStr">
        <is>
          <t>L_3b_ROI</t>
        </is>
      </c>
      <c r="B192" t="n">
        <v>-0.511</v>
      </c>
      <c r="C192" t="n">
        <v>1150</v>
      </c>
      <c r="D192" t="inlineStr">
        <is>
          <t>&lt; .001</t>
        </is>
      </c>
      <c r="E192" t="inlineStr">
        <is>
          <t>[-0.552, -0.467]</t>
        </is>
      </c>
      <c r="F192" t="inlineStr">
        <is>
          <t>&lt; .001</t>
        </is>
      </c>
      <c r="G192" t="inlineStr">
        <is>
          <t>✓</t>
        </is>
      </c>
    </row>
    <row r="193">
      <c r="A193" t="inlineStr">
        <is>
          <t>L_FEF_ROI</t>
        </is>
      </c>
      <c r="B193" t="n">
        <v>-0.643</v>
      </c>
      <c r="C193" t="n">
        <v>1150</v>
      </c>
      <c r="D193" t="inlineStr">
        <is>
          <t>&lt; .001</t>
        </is>
      </c>
      <c r="E193" t="inlineStr">
        <is>
          <t>[-0.676, -0.608]</t>
        </is>
      </c>
      <c r="F193" t="inlineStr">
        <is>
          <t>&lt; .001</t>
        </is>
      </c>
      <c r="G193" t="inlineStr">
        <is>
          <t>✓</t>
        </is>
      </c>
    </row>
    <row r="194">
      <c r="A194" t="inlineStr">
        <is>
          <t>L_PEF_ROI</t>
        </is>
      </c>
      <c r="B194" t="n">
        <v>-0.538</v>
      </c>
      <c r="C194" t="n">
        <v>1150</v>
      </c>
      <c r="D194" t="inlineStr">
        <is>
          <t>&lt; .001</t>
        </is>
      </c>
      <c r="E194" t="inlineStr">
        <is>
          <t>[-0.578, -0.495]</t>
        </is>
      </c>
      <c r="F194" t="inlineStr">
        <is>
          <t>&lt; .001</t>
        </is>
      </c>
      <c r="G194" t="inlineStr">
        <is>
          <t>✓</t>
        </is>
      </c>
    </row>
    <row r="195">
      <c r="A195" t="inlineStr">
        <is>
          <t>L_55b_ROI</t>
        </is>
      </c>
      <c r="B195" t="n">
        <v>-0.643</v>
      </c>
      <c r="C195" t="n">
        <v>1150</v>
      </c>
      <c r="D195" t="inlineStr">
        <is>
          <t>&lt; .001</t>
        </is>
      </c>
      <c r="E195" t="inlineStr">
        <is>
          <t>[-0.675, -0.607]</t>
        </is>
      </c>
      <c r="F195" t="inlineStr">
        <is>
          <t>&lt; .001</t>
        </is>
      </c>
      <c r="G195" t="inlineStr">
        <is>
          <t>✓</t>
        </is>
      </c>
    </row>
    <row r="196">
      <c r="A196" t="inlineStr">
        <is>
          <t>L_V3A_ROI</t>
        </is>
      </c>
      <c r="B196" t="n">
        <v>-0.548</v>
      </c>
      <c r="C196" t="n">
        <v>1150</v>
      </c>
      <c r="D196" t="inlineStr">
        <is>
          <t>&lt; .001</t>
        </is>
      </c>
      <c r="E196" t="inlineStr">
        <is>
          <t>[-0.587, -0.506]</t>
        </is>
      </c>
      <c r="F196" t="inlineStr">
        <is>
          <t>&lt; .001</t>
        </is>
      </c>
      <c r="G196" t="inlineStr">
        <is>
          <t>✓</t>
        </is>
      </c>
    </row>
    <row r="197">
      <c r="A197" t="inlineStr">
        <is>
          <t>L_RSC_ROI</t>
        </is>
      </c>
      <c r="B197" t="n">
        <v>-0.449</v>
      </c>
      <c r="C197" t="n">
        <v>1150</v>
      </c>
      <c r="D197" t="inlineStr">
        <is>
          <t>&lt; .001</t>
        </is>
      </c>
      <c r="E197" t="inlineStr">
        <is>
          <t>[-0.494, -0.402]</t>
        </is>
      </c>
      <c r="F197" t="inlineStr">
        <is>
          <t>&lt; .001</t>
        </is>
      </c>
      <c r="G197" t="inlineStr">
        <is>
          <t>✓</t>
        </is>
      </c>
    </row>
    <row r="198">
      <c r="A198" t="inlineStr">
        <is>
          <t>L_POS2_ROI</t>
        </is>
      </c>
      <c r="B198" t="n">
        <v>-0.576</v>
      </c>
      <c r="C198" t="n">
        <v>1150</v>
      </c>
      <c r="D198" t="inlineStr">
        <is>
          <t>&lt; .001</t>
        </is>
      </c>
      <c r="E198" t="inlineStr">
        <is>
          <t>[-0.613, -0.536]</t>
        </is>
      </c>
      <c r="F198" t="inlineStr">
        <is>
          <t>&lt; .001</t>
        </is>
      </c>
      <c r="G198" t="inlineStr">
        <is>
          <t>✓</t>
        </is>
      </c>
    </row>
    <row r="199">
      <c r="A199" t="inlineStr">
        <is>
          <t>L_V7_ROI</t>
        </is>
      </c>
      <c r="B199" t="n">
        <v>-0.521</v>
      </c>
      <c r="C199" t="n">
        <v>1150</v>
      </c>
      <c r="D199" t="inlineStr">
        <is>
          <t>&lt; .001</t>
        </is>
      </c>
      <c r="E199" t="inlineStr">
        <is>
          <t>[-0.562, -0.478]</t>
        </is>
      </c>
      <c r="F199" t="inlineStr">
        <is>
          <t>&lt; .001</t>
        </is>
      </c>
      <c r="G199" t="inlineStr">
        <is>
          <t>✓</t>
        </is>
      </c>
    </row>
    <row r="200">
      <c r="A200" t="inlineStr">
        <is>
          <t>L_IPS1_ROI</t>
        </is>
      </c>
      <c r="B200" t="n">
        <v>-0.545</v>
      </c>
      <c r="C200" t="n">
        <v>1150</v>
      </c>
      <c r="D200" t="inlineStr">
        <is>
          <t>&lt; .001</t>
        </is>
      </c>
      <c r="E200" t="inlineStr">
        <is>
          <t>[-0.584, -0.503]</t>
        </is>
      </c>
      <c r="F200" t="inlineStr">
        <is>
          <t>&lt; .001</t>
        </is>
      </c>
      <c r="G200" t="inlineStr">
        <is>
          <t>✓</t>
        </is>
      </c>
    </row>
    <row r="201">
      <c r="A201" t="inlineStr">
        <is>
          <t>L_FFC_ROI</t>
        </is>
      </c>
      <c r="B201" t="n">
        <v>-0.375</v>
      </c>
      <c r="C201" t="n">
        <v>1150</v>
      </c>
      <c r="D201" t="inlineStr">
        <is>
          <t>&lt; .001</t>
        </is>
      </c>
      <c r="E201" t="inlineStr">
        <is>
          <t>[-0.424, -0.325]</t>
        </is>
      </c>
      <c r="F201" t="inlineStr">
        <is>
          <t>&lt; .001</t>
        </is>
      </c>
      <c r="G201" t="inlineStr">
        <is>
          <t>✓</t>
        </is>
      </c>
    </row>
    <row r="202">
      <c r="A202" t="inlineStr">
        <is>
          <t>L_V3B_ROI</t>
        </is>
      </c>
      <c r="B202" t="n">
        <v>-0.5570000000000001</v>
      </c>
      <c r="C202" t="n">
        <v>1150</v>
      </c>
      <c r="D202" t="inlineStr">
        <is>
          <t>&lt; .001</t>
        </is>
      </c>
      <c r="E202" t="inlineStr">
        <is>
          <t>[-0.596, -0.516]</t>
        </is>
      </c>
      <c r="F202" t="inlineStr">
        <is>
          <t>&lt; .001</t>
        </is>
      </c>
      <c r="G202" t="inlineStr">
        <is>
          <t>✓</t>
        </is>
      </c>
    </row>
    <row r="203">
      <c r="A203" t="inlineStr">
        <is>
          <t>L_LO1_ROI</t>
        </is>
      </c>
      <c r="B203" t="n">
        <v>-0.419</v>
      </c>
      <c r="C203" t="n">
        <v>1150</v>
      </c>
      <c r="D203" t="inlineStr">
        <is>
          <t>&lt; .001</t>
        </is>
      </c>
      <c r="E203" t="inlineStr">
        <is>
          <t>[-0.466, -0.370]</t>
        </is>
      </c>
      <c r="F203" t="inlineStr">
        <is>
          <t>&lt; .001</t>
        </is>
      </c>
      <c r="G203" t="inlineStr">
        <is>
          <t>✓</t>
        </is>
      </c>
    </row>
    <row r="204">
      <c r="A204" t="inlineStr">
        <is>
          <t>L_LO2_ROI</t>
        </is>
      </c>
      <c r="B204" t="n">
        <v>-0.377</v>
      </c>
      <c r="C204" t="n">
        <v>1150</v>
      </c>
      <c r="D204" t="inlineStr">
        <is>
          <t>&lt; .001</t>
        </is>
      </c>
      <c r="E204" t="inlineStr">
        <is>
          <t>[-0.425, -0.326]</t>
        </is>
      </c>
      <c r="F204" t="inlineStr">
        <is>
          <t>&lt; .001</t>
        </is>
      </c>
      <c r="G204" t="inlineStr">
        <is>
          <t>✓</t>
        </is>
      </c>
    </row>
    <row r="205">
      <c r="A205" t="inlineStr">
        <is>
          <t>L_PIT_ROI</t>
        </is>
      </c>
      <c r="B205" t="n">
        <v>-0.287</v>
      </c>
      <c r="C205" t="n">
        <v>1150</v>
      </c>
      <c r="D205" t="inlineStr">
        <is>
          <t>&lt; .001</t>
        </is>
      </c>
      <c r="E205" t="inlineStr">
        <is>
          <t>[-0.339, -0.233]</t>
        </is>
      </c>
      <c r="F205" t="inlineStr">
        <is>
          <t>&lt; .001</t>
        </is>
      </c>
      <c r="G205" t="inlineStr">
        <is>
          <t>✓</t>
        </is>
      </c>
    </row>
    <row r="206">
      <c r="A206" t="inlineStr">
        <is>
          <t>L_MT_ROI</t>
        </is>
      </c>
      <c r="B206" t="n">
        <v>-0.511</v>
      </c>
      <c r="C206" t="n">
        <v>1150</v>
      </c>
      <c r="D206" t="inlineStr">
        <is>
          <t>&lt; .001</t>
        </is>
      </c>
      <c r="E206" t="inlineStr">
        <is>
          <t>[-0.552, -0.467]</t>
        </is>
      </c>
      <c r="F206" t="inlineStr">
        <is>
          <t>&lt; .001</t>
        </is>
      </c>
      <c r="G206" t="inlineStr">
        <is>
          <t>✓</t>
        </is>
      </c>
    </row>
    <row r="207">
      <c r="A207" t="inlineStr">
        <is>
          <t>L_A1_ROI</t>
        </is>
      </c>
      <c r="B207" t="n">
        <v>-0.58</v>
      </c>
      <c r="C207" t="n">
        <v>1150</v>
      </c>
      <c r="D207" t="inlineStr">
        <is>
          <t>&lt; .001</t>
        </is>
      </c>
      <c r="E207" t="inlineStr">
        <is>
          <t>[-0.617, -0.540]</t>
        </is>
      </c>
      <c r="F207" t="inlineStr">
        <is>
          <t>&lt; .001</t>
        </is>
      </c>
      <c r="G207" t="inlineStr">
        <is>
          <t>✓</t>
        </is>
      </c>
    </row>
    <row r="208">
      <c r="A208" t="inlineStr">
        <is>
          <t>L_PSL_ROI</t>
        </is>
      </c>
      <c r="B208" t="n">
        <v>-0.5639999999999999</v>
      </c>
      <c r="C208" t="n">
        <v>1150</v>
      </c>
      <c r="D208" t="inlineStr">
        <is>
          <t>&lt; .001</t>
        </is>
      </c>
      <c r="E208" t="inlineStr">
        <is>
          <t>[-0.603, -0.524]</t>
        </is>
      </c>
      <c r="F208" t="inlineStr">
        <is>
          <t>&lt; .001</t>
        </is>
      </c>
      <c r="G208" t="inlineStr">
        <is>
          <t>✓</t>
        </is>
      </c>
    </row>
    <row r="209">
      <c r="A209" t="inlineStr">
        <is>
          <t>L_SFL_ROI</t>
        </is>
      </c>
      <c r="B209" t="n">
        <v>-0.612</v>
      </c>
      <c r="C209" t="n">
        <v>1150</v>
      </c>
      <c r="D209" t="inlineStr">
        <is>
          <t>&lt; .001</t>
        </is>
      </c>
      <c r="E209" t="inlineStr">
        <is>
          <t>[-0.647, -0.574]</t>
        </is>
      </c>
      <c r="F209" t="inlineStr">
        <is>
          <t>&lt; .001</t>
        </is>
      </c>
      <c r="G209" t="inlineStr">
        <is>
          <t>✓</t>
        </is>
      </c>
    </row>
    <row r="210">
      <c r="A210" t="inlineStr">
        <is>
          <t>L_PCV_ROI</t>
        </is>
      </c>
      <c r="B210" t="n">
        <v>-0.449</v>
      </c>
      <c r="C210" t="n">
        <v>1150</v>
      </c>
      <c r="D210" t="inlineStr">
        <is>
          <t>&lt; .001</t>
        </is>
      </c>
      <c r="E210" t="inlineStr">
        <is>
          <t>[-0.494, -0.402]</t>
        </is>
      </c>
      <c r="F210" t="inlineStr">
        <is>
          <t>&lt; .001</t>
        </is>
      </c>
      <c r="G210" t="inlineStr">
        <is>
          <t>✓</t>
        </is>
      </c>
    </row>
    <row r="211">
      <c r="A211" t="inlineStr">
        <is>
          <t>L_STV_ROI</t>
        </is>
      </c>
      <c r="B211" t="n">
        <v>-0.541</v>
      </c>
      <c r="C211" t="n">
        <v>1150</v>
      </c>
      <c r="D211" t="inlineStr">
        <is>
          <t>&lt; .001</t>
        </is>
      </c>
      <c r="E211" t="inlineStr">
        <is>
          <t>[-0.581, -0.499]</t>
        </is>
      </c>
      <c r="F211" t="inlineStr">
        <is>
          <t>&lt; .001</t>
        </is>
      </c>
      <c r="G211" t="inlineStr">
        <is>
          <t>✓</t>
        </is>
      </c>
    </row>
    <row r="212">
      <c r="A212" t="inlineStr">
        <is>
          <t>L_7Pm_ROI</t>
        </is>
      </c>
      <c r="B212" t="n">
        <v>-0.375</v>
      </c>
      <c r="C212" t="n">
        <v>1150</v>
      </c>
      <c r="D212" t="inlineStr">
        <is>
          <t>&lt; .001</t>
        </is>
      </c>
      <c r="E212" t="inlineStr">
        <is>
          <t>[-0.423, -0.324]</t>
        </is>
      </c>
      <c r="F212" t="inlineStr">
        <is>
          <t>&lt; .001</t>
        </is>
      </c>
      <c r="G212" t="inlineStr">
        <is>
          <t>✓</t>
        </is>
      </c>
    </row>
    <row r="213">
      <c r="A213" t="inlineStr">
        <is>
          <t>L_7m_ROI</t>
        </is>
      </c>
      <c r="B213" t="n">
        <v>-0.512</v>
      </c>
      <c r="C213" t="n">
        <v>1150</v>
      </c>
      <c r="D213" t="inlineStr">
        <is>
          <t>&lt; .001</t>
        </is>
      </c>
      <c r="E213" t="inlineStr">
        <is>
          <t>[-0.554, -0.468]</t>
        </is>
      </c>
      <c r="F213" t="inlineStr">
        <is>
          <t>&lt; .001</t>
        </is>
      </c>
      <c r="G213" t="inlineStr">
        <is>
          <t>✓</t>
        </is>
      </c>
    </row>
    <row r="214">
      <c r="A214" t="inlineStr">
        <is>
          <t>L_POS1_ROI</t>
        </is>
      </c>
      <c r="B214" t="n">
        <v>-0.625</v>
      </c>
      <c r="C214" t="n">
        <v>1150</v>
      </c>
      <c r="D214" t="inlineStr">
        <is>
          <t>&lt; .001</t>
        </is>
      </c>
      <c r="E214" t="inlineStr">
        <is>
          <t>[-0.659, -0.588]</t>
        </is>
      </c>
      <c r="F214" t="inlineStr">
        <is>
          <t>&lt; .001</t>
        </is>
      </c>
      <c r="G214" t="inlineStr">
        <is>
          <t>✓</t>
        </is>
      </c>
    </row>
    <row r="215">
      <c r="A215" t="inlineStr">
        <is>
          <t>L_23d_ROI</t>
        </is>
      </c>
      <c r="B215" t="n">
        <v>-0.508</v>
      </c>
      <c r="C215" t="n">
        <v>1150</v>
      </c>
      <c r="D215" t="inlineStr">
        <is>
          <t>&lt; .001</t>
        </is>
      </c>
      <c r="E215" t="inlineStr">
        <is>
          <t>[-0.550, -0.464]</t>
        </is>
      </c>
      <c r="F215" t="inlineStr">
        <is>
          <t>&lt; .001</t>
        </is>
      </c>
      <c r="G215" t="inlineStr">
        <is>
          <t>✓</t>
        </is>
      </c>
    </row>
    <row r="216">
      <c r="A216" t="inlineStr">
        <is>
          <t>L_v23ab_ROI</t>
        </is>
      </c>
      <c r="B216" t="n">
        <v>-0.447</v>
      </c>
      <c r="C216" t="n">
        <v>1150</v>
      </c>
      <c r="D216" t="inlineStr">
        <is>
          <t>&lt; .001</t>
        </is>
      </c>
      <c r="E216" t="inlineStr">
        <is>
          <t>[-0.492, -0.400]</t>
        </is>
      </c>
      <c r="F216" t="inlineStr">
        <is>
          <t>&lt; .001</t>
        </is>
      </c>
      <c r="G216" t="inlineStr">
        <is>
          <t>✓</t>
        </is>
      </c>
    </row>
    <row r="217">
      <c r="A217" t="inlineStr">
        <is>
          <t>L_d23ab_ROI</t>
        </is>
      </c>
      <c r="B217" t="n">
        <v>-0.599</v>
      </c>
      <c r="C217" t="n">
        <v>1150</v>
      </c>
      <c r="D217" t="inlineStr">
        <is>
          <t>&lt; .001</t>
        </is>
      </c>
      <c r="E217" t="inlineStr">
        <is>
          <t>[-0.635, -0.560]</t>
        </is>
      </c>
      <c r="F217" t="inlineStr">
        <is>
          <t>&lt; .001</t>
        </is>
      </c>
      <c r="G217" t="inlineStr">
        <is>
          <t>✓</t>
        </is>
      </c>
    </row>
    <row r="218">
      <c r="A218" t="inlineStr">
        <is>
          <t>L_31pv_ROI</t>
        </is>
      </c>
      <c r="B218" t="n">
        <v>-0.542</v>
      </c>
      <c r="C218" t="n">
        <v>1150</v>
      </c>
      <c r="D218" t="inlineStr">
        <is>
          <t>&lt; .001</t>
        </is>
      </c>
      <c r="E218" t="inlineStr">
        <is>
          <t>[-0.582, -0.500]</t>
        </is>
      </c>
      <c r="F218" t="inlineStr">
        <is>
          <t>&lt; .001</t>
        </is>
      </c>
      <c r="G218" t="inlineStr">
        <is>
          <t>✓</t>
        </is>
      </c>
    </row>
    <row r="219">
      <c r="A219" t="inlineStr">
        <is>
          <t>L_5m_ROI</t>
        </is>
      </c>
      <c r="B219" t="n">
        <v>-0.412</v>
      </c>
      <c r="C219" t="n">
        <v>1150</v>
      </c>
      <c r="D219" t="inlineStr">
        <is>
          <t>&lt; .001</t>
        </is>
      </c>
      <c r="E219" t="inlineStr">
        <is>
          <t>[-0.459, -0.363]</t>
        </is>
      </c>
      <c r="F219" t="inlineStr">
        <is>
          <t>&lt; .001</t>
        </is>
      </c>
      <c r="G219" t="inlineStr">
        <is>
          <t>✓</t>
        </is>
      </c>
    </row>
    <row r="220">
      <c r="A220" t="inlineStr">
        <is>
          <t>L_5mv_ROI</t>
        </is>
      </c>
      <c r="B220" t="n">
        <v>-0.457</v>
      </c>
      <c r="C220" t="n">
        <v>1150</v>
      </c>
      <c r="D220" t="inlineStr">
        <is>
          <t>&lt; .001</t>
        </is>
      </c>
      <c r="E220" t="inlineStr">
        <is>
          <t>[-0.501, -0.410]</t>
        </is>
      </c>
      <c r="F220" t="inlineStr">
        <is>
          <t>&lt; .001</t>
        </is>
      </c>
      <c r="G220" t="inlineStr">
        <is>
          <t>✓</t>
        </is>
      </c>
    </row>
    <row r="221">
      <c r="A221" t="inlineStr">
        <is>
          <t>L_23c_ROI</t>
        </is>
      </c>
      <c r="B221" t="n">
        <v>-0.587</v>
      </c>
      <c r="C221" t="n">
        <v>1150</v>
      </c>
      <c r="D221" t="inlineStr">
        <is>
          <t>&lt; .001</t>
        </is>
      </c>
      <c r="E221" t="inlineStr">
        <is>
          <t>[-0.623, -0.547]</t>
        </is>
      </c>
      <c r="F221" t="inlineStr">
        <is>
          <t>&lt; .001</t>
        </is>
      </c>
      <c r="G221" t="inlineStr">
        <is>
          <t>✓</t>
        </is>
      </c>
    </row>
    <row r="222">
      <c r="A222" t="inlineStr">
        <is>
          <t>L_5L_ROI</t>
        </is>
      </c>
      <c r="B222" t="n">
        <v>-0.386</v>
      </c>
      <c r="C222" t="n">
        <v>1150</v>
      </c>
      <c r="D222" t="inlineStr">
        <is>
          <t>&lt; .001</t>
        </is>
      </c>
      <c r="E222" t="inlineStr">
        <is>
          <t>[-0.434, -0.336]</t>
        </is>
      </c>
      <c r="F222" t="inlineStr">
        <is>
          <t>&lt; .001</t>
        </is>
      </c>
      <c r="G222" t="inlineStr">
        <is>
          <t>✓</t>
        </is>
      </c>
    </row>
    <row r="223">
      <c r="A223" t="inlineStr">
        <is>
          <t>L_24dd_ROI</t>
        </is>
      </c>
      <c r="B223" t="n">
        <v>-0.634</v>
      </c>
      <c r="C223" t="n">
        <v>1150</v>
      </c>
      <c r="D223" t="inlineStr">
        <is>
          <t>&lt; .001</t>
        </is>
      </c>
      <c r="E223" t="inlineStr">
        <is>
          <t>[-0.667, -0.598]</t>
        </is>
      </c>
      <c r="F223" t="inlineStr">
        <is>
          <t>&lt; .001</t>
        </is>
      </c>
      <c r="G223" t="inlineStr">
        <is>
          <t>✓</t>
        </is>
      </c>
    </row>
    <row r="224">
      <c r="A224" t="inlineStr">
        <is>
          <t>L_24dv_ROI</t>
        </is>
      </c>
      <c r="B224" t="n">
        <v>-0.614</v>
      </c>
      <c r="C224" t="n">
        <v>1150</v>
      </c>
      <c r="D224" t="inlineStr">
        <is>
          <t>&lt; .001</t>
        </is>
      </c>
      <c r="E224" t="inlineStr">
        <is>
          <t>[-0.649, -0.577]</t>
        </is>
      </c>
      <c r="F224" t="inlineStr">
        <is>
          <t>&lt; .001</t>
        </is>
      </c>
      <c r="G224" t="inlineStr">
        <is>
          <t>✓</t>
        </is>
      </c>
    </row>
    <row r="225">
      <c r="A225" t="inlineStr">
        <is>
          <t>L_7AL_ROI</t>
        </is>
      </c>
      <c r="B225" t="n">
        <v>-0.465</v>
      </c>
      <c r="C225" t="n">
        <v>1150</v>
      </c>
      <c r="D225" t="inlineStr">
        <is>
          <t>&lt; .001</t>
        </is>
      </c>
      <c r="E225" t="inlineStr">
        <is>
          <t>[-0.510, -0.419]</t>
        </is>
      </c>
      <c r="F225" t="inlineStr">
        <is>
          <t>&lt; .001</t>
        </is>
      </c>
      <c r="G225" t="inlineStr">
        <is>
          <t>✓</t>
        </is>
      </c>
    </row>
    <row r="226">
      <c r="A226" t="inlineStr">
        <is>
          <t>L_SCEF_ROI</t>
        </is>
      </c>
      <c r="B226" t="n">
        <v>-0.623</v>
      </c>
      <c r="C226" t="n">
        <v>1150</v>
      </c>
      <c r="D226" t="inlineStr">
        <is>
          <t>&lt; .001</t>
        </is>
      </c>
      <c r="E226" t="inlineStr">
        <is>
          <t>[-0.657, -0.586]</t>
        </is>
      </c>
      <c r="F226" t="inlineStr">
        <is>
          <t>&lt; .001</t>
        </is>
      </c>
      <c r="G226" t="inlineStr">
        <is>
          <t>✓</t>
        </is>
      </c>
    </row>
    <row r="227">
      <c r="A227" t="inlineStr">
        <is>
          <t>L_6ma_ROI</t>
        </is>
      </c>
      <c r="B227" t="n">
        <v>-0.582</v>
      </c>
      <c r="C227" t="n">
        <v>1150</v>
      </c>
      <c r="D227" t="inlineStr">
        <is>
          <t>&lt; .001</t>
        </is>
      </c>
      <c r="E227" t="inlineStr">
        <is>
          <t>[-0.619, -0.543]</t>
        </is>
      </c>
      <c r="F227" t="inlineStr">
        <is>
          <t>&lt; .001</t>
        </is>
      </c>
      <c r="G227" t="inlineStr">
        <is>
          <t>✓</t>
        </is>
      </c>
    </row>
    <row r="228">
      <c r="A228" t="inlineStr">
        <is>
          <t>L_7Am_ROI</t>
        </is>
      </c>
      <c r="B228" t="n">
        <v>-0.419</v>
      </c>
      <c r="C228" t="n">
        <v>1150</v>
      </c>
      <c r="D228" t="inlineStr">
        <is>
          <t>&lt; .001</t>
        </is>
      </c>
      <c r="E228" t="inlineStr">
        <is>
          <t>[-0.466, -0.371]</t>
        </is>
      </c>
      <c r="F228" t="inlineStr">
        <is>
          <t>&lt; .001</t>
        </is>
      </c>
      <c r="G228" t="inlineStr">
        <is>
          <t>✓</t>
        </is>
      </c>
    </row>
    <row r="229">
      <c r="A229" t="inlineStr">
        <is>
          <t>L_7PL_ROI</t>
        </is>
      </c>
      <c r="B229" t="n">
        <v>-0.41</v>
      </c>
      <c r="C229" t="n">
        <v>1150</v>
      </c>
      <c r="D229" t="inlineStr">
        <is>
          <t>&lt; .001</t>
        </is>
      </c>
      <c r="E229" t="inlineStr">
        <is>
          <t>[-0.457, -0.361]</t>
        </is>
      </c>
      <c r="F229" t="inlineStr">
        <is>
          <t>&lt; .001</t>
        </is>
      </c>
      <c r="G229" t="inlineStr">
        <is>
          <t>✓</t>
        </is>
      </c>
    </row>
    <row r="230">
      <c r="A230" t="inlineStr">
        <is>
          <t>L_7PC_ROI</t>
        </is>
      </c>
      <c r="B230" t="n">
        <v>-0.547</v>
      </c>
      <c r="C230" t="n">
        <v>1150</v>
      </c>
      <c r="D230" t="inlineStr">
        <is>
          <t>&lt; .001</t>
        </is>
      </c>
      <c r="E230" t="inlineStr">
        <is>
          <t>[-0.586, -0.505]</t>
        </is>
      </c>
      <c r="F230" t="inlineStr">
        <is>
          <t>&lt; .001</t>
        </is>
      </c>
      <c r="G230" t="inlineStr">
        <is>
          <t>✓</t>
        </is>
      </c>
    </row>
    <row r="231">
      <c r="A231" t="inlineStr">
        <is>
          <t>L_LIPv_ROI</t>
        </is>
      </c>
      <c r="B231" t="n">
        <v>-0.542</v>
      </c>
      <c r="C231" t="n">
        <v>1150</v>
      </c>
      <c r="D231" t="inlineStr">
        <is>
          <t>&lt; .001</t>
        </is>
      </c>
      <c r="E231" t="inlineStr">
        <is>
          <t>[-0.581, -0.500]</t>
        </is>
      </c>
      <c r="F231" t="inlineStr">
        <is>
          <t>&lt; .001</t>
        </is>
      </c>
      <c r="G231" t="inlineStr">
        <is>
          <t>✓</t>
        </is>
      </c>
    </row>
    <row r="232">
      <c r="A232" t="inlineStr">
        <is>
          <t>L_VIP_ROI</t>
        </is>
      </c>
      <c r="B232" t="n">
        <v>-0.444</v>
      </c>
      <c r="C232" t="n">
        <v>1150</v>
      </c>
      <c r="D232" t="inlineStr">
        <is>
          <t>&lt; .001</t>
        </is>
      </c>
      <c r="E232" t="inlineStr">
        <is>
          <t>[-0.489, -0.396]</t>
        </is>
      </c>
      <c r="F232" t="inlineStr">
        <is>
          <t>&lt; .001</t>
        </is>
      </c>
      <c r="G232" t="inlineStr">
        <is>
          <t>✓</t>
        </is>
      </c>
    </row>
    <row r="233">
      <c r="A233" t="inlineStr">
        <is>
          <t>L_MIP_ROI</t>
        </is>
      </c>
      <c r="B233" t="n">
        <v>-0.521</v>
      </c>
      <c r="C233" t="n">
        <v>1150</v>
      </c>
      <c r="D233" t="inlineStr">
        <is>
          <t>&lt; .001</t>
        </is>
      </c>
      <c r="E233" t="inlineStr">
        <is>
          <t>[-0.562, -0.478]</t>
        </is>
      </c>
      <c r="F233" t="inlineStr">
        <is>
          <t>&lt; .001</t>
        </is>
      </c>
      <c r="G233" t="inlineStr">
        <is>
          <t>✓</t>
        </is>
      </c>
    </row>
    <row r="234">
      <c r="A234" t="inlineStr">
        <is>
          <t>L_1_ROI</t>
        </is>
      </c>
      <c r="B234" t="n">
        <v>-0.63</v>
      </c>
      <c r="C234" t="n">
        <v>1150</v>
      </c>
      <c r="D234" t="inlineStr">
        <is>
          <t>&lt; .001</t>
        </is>
      </c>
      <c r="E234" t="inlineStr">
        <is>
          <t>[-0.664, -0.594]</t>
        </is>
      </c>
      <c r="F234" t="inlineStr">
        <is>
          <t>&lt; .001</t>
        </is>
      </c>
      <c r="G234" t="inlineStr">
        <is>
          <t>✓</t>
        </is>
      </c>
    </row>
    <row r="235">
      <c r="A235" t="inlineStr">
        <is>
          <t>L_2_ROI</t>
        </is>
      </c>
      <c r="B235" t="n">
        <v>-0.647</v>
      </c>
      <c r="C235" t="n">
        <v>1150</v>
      </c>
      <c r="D235" t="inlineStr">
        <is>
          <t>&lt; .001</t>
        </is>
      </c>
      <c r="E235" t="inlineStr">
        <is>
          <t>[-0.679, -0.612]</t>
        </is>
      </c>
      <c r="F235" t="inlineStr">
        <is>
          <t>&lt; .001</t>
        </is>
      </c>
      <c r="G235" t="inlineStr">
        <is>
          <t>✓</t>
        </is>
      </c>
    </row>
    <row r="236">
      <c r="A236" t="inlineStr">
        <is>
          <t>L_3a_ROI</t>
        </is>
      </c>
      <c r="B236" t="n">
        <v>-0.528</v>
      </c>
      <c r="C236" t="n">
        <v>1150</v>
      </c>
      <c r="D236" t="inlineStr">
        <is>
          <t>&lt; .001</t>
        </is>
      </c>
      <c r="E236" t="inlineStr">
        <is>
          <t>[-0.569, -0.485]</t>
        </is>
      </c>
      <c r="F236" t="inlineStr">
        <is>
          <t>&lt; .001</t>
        </is>
      </c>
      <c r="G236" t="inlineStr">
        <is>
          <t>✓</t>
        </is>
      </c>
    </row>
    <row r="237">
      <c r="A237" t="inlineStr">
        <is>
          <t>L_6d_ROI</t>
        </is>
      </c>
      <c r="B237" t="n">
        <v>-0.5659999999999999</v>
      </c>
      <c r="C237" t="n">
        <v>1150</v>
      </c>
      <c r="D237" t="inlineStr">
        <is>
          <t>&lt; .001</t>
        </is>
      </c>
      <c r="E237" t="inlineStr">
        <is>
          <t>[-0.604, -0.526]</t>
        </is>
      </c>
      <c r="F237" t="inlineStr">
        <is>
          <t>&lt; .001</t>
        </is>
      </c>
      <c r="G237" t="inlineStr">
        <is>
          <t>✓</t>
        </is>
      </c>
    </row>
    <row r="238">
      <c r="A238" t="inlineStr">
        <is>
          <t>L_6mp_ROI</t>
        </is>
      </c>
      <c r="B238" t="n">
        <v>-0.549</v>
      </c>
      <c r="C238" t="n">
        <v>1150</v>
      </c>
      <c r="D238" t="inlineStr">
        <is>
          <t>&lt; .001</t>
        </is>
      </c>
      <c r="E238" t="inlineStr">
        <is>
          <t>[-0.588, -0.507]</t>
        </is>
      </c>
      <c r="F238" t="inlineStr">
        <is>
          <t>&lt; .001</t>
        </is>
      </c>
      <c r="G238" t="inlineStr">
        <is>
          <t>✓</t>
        </is>
      </c>
    </row>
    <row r="239">
      <c r="A239" t="inlineStr">
        <is>
          <t>L_6v_ROI</t>
        </is>
      </c>
      <c r="B239" t="n">
        <v>-0.597</v>
      </c>
      <c r="C239" t="n">
        <v>1150</v>
      </c>
      <c r="D239" t="inlineStr">
        <is>
          <t>&lt; .001</t>
        </is>
      </c>
      <c r="E239" t="inlineStr">
        <is>
          <t>[-0.633, -0.559]</t>
        </is>
      </c>
      <c r="F239" t="inlineStr">
        <is>
          <t>&lt; .001</t>
        </is>
      </c>
      <c r="G239" t="inlineStr">
        <is>
          <t>✓</t>
        </is>
      </c>
    </row>
    <row r="240">
      <c r="A240" t="inlineStr">
        <is>
          <t>L_p24pr_ROI</t>
        </is>
      </c>
      <c r="B240" t="n">
        <v>-0.471</v>
      </c>
      <c r="C240" t="n">
        <v>1150</v>
      </c>
      <c r="D240" t="inlineStr">
        <is>
          <t>&lt; .001</t>
        </is>
      </c>
      <c r="E240" t="inlineStr">
        <is>
          <t>[-0.515, -0.425]</t>
        </is>
      </c>
      <c r="F240" t="inlineStr">
        <is>
          <t>&lt; .001</t>
        </is>
      </c>
      <c r="G240" t="inlineStr">
        <is>
          <t>✓</t>
        </is>
      </c>
    </row>
    <row r="241">
      <c r="A241" t="inlineStr">
        <is>
          <t>L_33pr_ROI</t>
        </is>
      </c>
      <c r="B241" t="n">
        <v>-0.401</v>
      </c>
      <c r="C241" t="n">
        <v>1150</v>
      </c>
      <c r="D241" t="inlineStr">
        <is>
          <t>&lt; .001</t>
        </is>
      </c>
      <c r="E241" t="inlineStr">
        <is>
          <t>[-0.449, -0.352]</t>
        </is>
      </c>
      <c r="F241" t="inlineStr">
        <is>
          <t>&lt; .001</t>
        </is>
      </c>
      <c r="G241" t="inlineStr">
        <is>
          <t>✓</t>
        </is>
      </c>
    </row>
    <row r="242">
      <c r="A242" t="inlineStr">
        <is>
          <t>L_a24pr_ROI</t>
        </is>
      </c>
      <c r="B242" t="n">
        <v>-0.439</v>
      </c>
      <c r="C242" t="n">
        <v>1150</v>
      </c>
      <c r="D242" t="inlineStr">
        <is>
          <t>&lt; .001</t>
        </is>
      </c>
      <c r="E242" t="inlineStr">
        <is>
          <t>[-0.484, -0.391]</t>
        </is>
      </c>
      <c r="F242" t="inlineStr">
        <is>
          <t>&lt; .001</t>
        </is>
      </c>
      <c r="G242" t="inlineStr">
        <is>
          <t>✓</t>
        </is>
      </c>
    </row>
    <row r="243">
      <c r="A243" t="inlineStr">
        <is>
          <t>L_p32pr_ROI</t>
        </is>
      </c>
      <c r="B243" t="n">
        <v>-0.637</v>
      </c>
      <c r="C243" t="n">
        <v>1150</v>
      </c>
      <c r="D243" t="inlineStr">
        <is>
          <t>&lt; .001</t>
        </is>
      </c>
      <c r="E243" t="inlineStr">
        <is>
          <t>[-0.670, -0.601]</t>
        </is>
      </c>
      <c r="F243" t="inlineStr">
        <is>
          <t>&lt; .001</t>
        </is>
      </c>
      <c r="G243" t="inlineStr">
        <is>
          <t>✓</t>
        </is>
      </c>
    </row>
    <row r="244">
      <c r="A244" t="inlineStr">
        <is>
          <t>L_a24_ROI</t>
        </is>
      </c>
      <c r="B244" t="n">
        <v>-0.178</v>
      </c>
      <c r="C244" t="n">
        <v>1150</v>
      </c>
      <c r="D244" t="inlineStr">
        <is>
          <t>&lt; .001</t>
        </is>
      </c>
      <c r="E244" t="inlineStr">
        <is>
          <t>[-0.233, -0.121]</t>
        </is>
      </c>
      <c r="F244" t="inlineStr">
        <is>
          <t>&lt; .001</t>
        </is>
      </c>
      <c r="G244" t="inlineStr">
        <is>
          <t>✓</t>
        </is>
      </c>
    </row>
    <row r="245">
      <c r="A245" t="inlineStr">
        <is>
          <t>L_d32_ROI</t>
        </is>
      </c>
      <c r="B245" t="n">
        <v>-0.579</v>
      </c>
      <c r="C245" t="n">
        <v>1150</v>
      </c>
      <c r="D245" t="inlineStr">
        <is>
          <t>&lt; .001</t>
        </is>
      </c>
      <c r="E245" t="inlineStr">
        <is>
          <t>[-0.616, -0.539]</t>
        </is>
      </c>
      <c r="F245" t="inlineStr">
        <is>
          <t>&lt; .001</t>
        </is>
      </c>
      <c r="G245" t="inlineStr">
        <is>
          <t>✓</t>
        </is>
      </c>
    </row>
    <row r="246">
      <c r="A246" t="inlineStr">
        <is>
          <t>L_8BM_ROI</t>
        </is>
      </c>
      <c r="B246" t="n">
        <v>-0.634</v>
      </c>
      <c r="C246" t="n">
        <v>1150</v>
      </c>
      <c r="D246" t="inlineStr">
        <is>
          <t>&lt; .001</t>
        </is>
      </c>
      <c r="E246" t="inlineStr">
        <is>
          <t>[-0.667, -0.598]</t>
        </is>
      </c>
      <c r="F246" t="inlineStr">
        <is>
          <t>&lt; .001</t>
        </is>
      </c>
      <c r="G246" t="inlineStr">
        <is>
          <t>✓</t>
        </is>
      </c>
    </row>
    <row r="247">
      <c r="A247" t="inlineStr">
        <is>
          <t>L_p32_ROI</t>
        </is>
      </c>
      <c r="B247" t="n">
        <v>-0.186</v>
      </c>
      <c r="C247" t="n">
        <v>1150</v>
      </c>
      <c r="D247" t="inlineStr">
        <is>
          <t>&lt; .001</t>
        </is>
      </c>
      <c r="E247" t="inlineStr">
        <is>
          <t>[-0.241, -0.129]</t>
        </is>
      </c>
      <c r="F247" t="inlineStr">
        <is>
          <t>&lt; .001</t>
        </is>
      </c>
      <c r="G247" t="inlineStr">
        <is>
          <t>✓</t>
        </is>
      </c>
    </row>
    <row r="248">
      <c r="A248" t="inlineStr">
        <is>
          <t>L_10r_ROI</t>
        </is>
      </c>
      <c r="B248" t="n">
        <v>-0.178</v>
      </c>
      <c r="C248" t="n">
        <v>1150</v>
      </c>
      <c r="D248" t="inlineStr">
        <is>
          <t>&lt; .001</t>
        </is>
      </c>
      <c r="E248" t="inlineStr">
        <is>
          <t>[-0.233, -0.121]</t>
        </is>
      </c>
      <c r="F248" t="inlineStr">
        <is>
          <t>&lt; .001</t>
        </is>
      </c>
      <c r="G248" t="inlineStr">
        <is>
          <t>✓</t>
        </is>
      </c>
    </row>
    <row r="249">
      <c r="A249" t="inlineStr">
        <is>
          <t>L_47m_ROI</t>
        </is>
      </c>
      <c r="B249" t="n">
        <v>-0.448</v>
      </c>
      <c r="C249" t="n">
        <v>1150</v>
      </c>
      <c r="D249" t="inlineStr">
        <is>
          <t>&lt; .001</t>
        </is>
      </c>
      <c r="E249" t="inlineStr">
        <is>
          <t>[-0.493, -0.401]</t>
        </is>
      </c>
      <c r="F249" t="inlineStr">
        <is>
          <t>&lt; .001</t>
        </is>
      </c>
      <c r="G249" t="inlineStr">
        <is>
          <t>✓</t>
        </is>
      </c>
    </row>
    <row r="250">
      <c r="A250" t="inlineStr">
        <is>
          <t>L_8Av_ROI</t>
        </is>
      </c>
      <c r="B250" t="n">
        <v>-0.611</v>
      </c>
      <c r="C250" t="n">
        <v>1150</v>
      </c>
      <c r="D250" t="inlineStr">
        <is>
          <t>&lt; .001</t>
        </is>
      </c>
      <c r="E250" t="inlineStr">
        <is>
          <t>[-0.646, -0.573]</t>
        </is>
      </c>
      <c r="F250" t="inlineStr">
        <is>
          <t>&lt; .001</t>
        </is>
      </c>
      <c r="G250" t="inlineStr">
        <is>
          <t>✓</t>
        </is>
      </c>
    </row>
    <row r="251">
      <c r="A251" t="inlineStr">
        <is>
          <t>L_8Ad_ROI</t>
        </is>
      </c>
      <c r="B251" t="n">
        <v>-0.649</v>
      </c>
      <c r="C251" t="n">
        <v>1150</v>
      </c>
      <c r="D251" t="inlineStr">
        <is>
          <t>&lt; .001</t>
        </is>
      </c>
      <c r="E251" t="inlineStr">
        <is>
          <t>[-0.681, -0.614]</t>
        </is>
      </c>
      <c r="F251" t="inlineStr">
        <is>
          <t>&lt; .001</t>
        </is>
      </c>
      <c r="G251" t="inlineStr">
        <is>
          <t>✓</t>
        </is>
      </c>
    </row>
    <row r="252">
      <c r="A252" t="inlineStr">
        <is>
          <t>L_9m_ROI</t>
        </is>
      </c>
      <c r="B252" t="n">
        <v>-0.52</v>
      </c>
      <c r="C252" t="n">
        <v>1150</v>
      </c>
      <c r="D252" t="inlineStr">
        <is>
          <t>&lt; .001</t>
        </is>
      </c>
      <c r="E252" t="inlineStr">
        <is>
          <t>[-0.561, -0.476]</t>
        </is>
      </c>
      <c r="F252" t="inlineStr">
        <is>
          <t>&lt; .001</t>
        </is>
      </c>
      <c r="G252" t="inlineStr">
        <is>
          <t>✓</t>
        </is>
      </c>
    </row>
    <row r="253">
      <c r="A253" t="inlineStr">
        <is>
          <t>L_8BL_ROI</t>
        </is>
      </c>
      <c r="B253" t="n">
        <v>-0.543</v>
      </c>
      <c r="C253" t="n">
        <v>1150</v>
      </c>
      <c r="D253" t="inlineStr">
        <is>
          <t>&lt; .001</t>
        </is>
      </c>
      <c r="E253" t="inlineStr">
        <is>
          <t>[-0.582, -0.501]</t>
        </is>
      </c>
      <c r="F253" t="inlineStr">
        <is>
          <t>&lt; .001</t>
        </is>
      </c>
      <c r="G253" t="inlineStr">
        <is>
          <t>✓</t>
        </is>
      </c>
    </row>
    <row r="254">
      <c r="A254" t="inlineStr">
        <is>
          <t>L_9p_ROI</t>
        </is>
      </c>
      <c r="B254" t="n">
        <v>-0.548</v>
      </c>
      <c r="C254" t="n">
        <v>1150</v>
      </c>
      <c r="D254" t="inlineStr">
        <is>
          <t>&lt; .001</t>
        </is>
      </c>
      <c r="E254" t="inlineStr">
        <is>
          <t>[-0.587, -0.506]</t>
        </is>
      </c>
      <c r="F254" t="inlineStr">
        <is>
          <t>&lt; .001</t>
        </is>
      </c>
      <c r="G254" t="inlineStr">
        <is>
          <t>✓</t>
        </is>
      </c>
    </row>
    <row r="255">
      <c r="A255" t="inlineStr">
        <is>
          <t>L_10d_ROI</t>
        </is>
      </c>
      <c r="B255" t="n">
        <v>-0.413</v>
      </c>
      <c r="C255" t="n">
        <v>1150</v>
      </c>
      <c r="D255" t="inlineStr">
        <is>
          <t>&lt; .001</t>
        </is>
      </c>
      <c r="E255" t="inlineStr">
        <is>
          <t>[-0.460, -0.364]</t>
        </is>
      </c>
      <c r="F255" t="inlineStr">
        <is>
          <t>&lt; .001</t>
        </is>
      </c>
      <c r="G255" t="inlineStr">
        <is>
          <t>✓</t>
        </is>
      </c>
    </row>
    <row r="256">
      <c r="A256" t="inlineStr">
        <is>
          <t>L_8C_ROI</t>
        </is>
      </c>
      <c r="B256" t="n">
        <v>-0.649</v>
      </c>
      <c r="C256" t="n">
        <v>1150</v>
      </c>
      <c r="D256" t="inlineStr">
        <is>
          <t>&lt; .001</t>
        </is>
      </c>
      <c r="E256" t="inlineStr">
        <is>
          <t>[-0.682, -0.615]</t>
        </is>
      </c>
      <c r="F256" t="inlineStr">
        <is>
          <t>&lt; .001</t>
        </is>
      </c>
      <c r="G256" t="inlineStr">
        <is>
          <t>✓</t>
        </is>
      </c>
    </row>
    <row r="257">
      <c r="A257" t="inlineStr">
        <is>
          <t>L_44_ROI</t>
        </is>
      </c>
      <c r="B257" t="n">
        <v>-0.5610000000000001</v>
      </c>
      <c r="C257" t="n">
        <v>1150</v>
      </c>
      <c r="D257" t="inlineStr">
        <is>
          <t>&lt; .001</t>
        </is>
      </c>
      <c r="E257" t="inlineStr">
        <is>
          <t>[-0.600, -0.520]</t>
        </is>
      </c>
      <c r="F257" t="inlineStr">
        <is>
          <t>&lt; .001</t>
        </is>
      </c>
      <c r="G257" t="inlineStr">
        <is>
          <t>✓</t>
        </is>
      </c>
    </row>
    <row r="258">
      <c r="A258" t="inlineStr">
        <is>
          <t>L_45_ROI</t>
        </is>
      </c>
      <c r="B258" t="n">
        <v>-0.616</v>
      </c>
      <c r="C258" t="n">
        <v>1150</v>
      </c>
      <c r="D258" t="inlineStr">
        <is>
          <t>&lt; .001</t>
        </is>
      </c>
      <c r="E258" t="inlineStr">
        <is>
          <t>[-0.651, -0.579]</t>
        </is>
      </c>
      <c r="F258" t="inlineStr">
        <is>
          <t>&lt; .001</t>
        </is>
      </c>
      <c r="G258" t="inlineStr">
        <is>
          <t>✓</t>
        </is>
      </c>
    </row>
    <row r="259">
      <c r="A259" t="inlineStr">
        <is>
          <t>L_47l_ROI</t>
        </is>
      </c>
      <c r="B259" t="n">
        <v>-0.472</v>
      </c>
      <c r="C259" t="n">
        <v>1150</v>
      </c>
      <c r="D259" t="inlineStr">
        <is>
          <t>&lt; .001</t>
        </is>
      </c>
      <c r="E259" t="inlineStr">
        <is>
          <t>[-0.516, -0.426]</t>
        </is>
      </c>
      <c r="F259" t="inlineStr">
        <is>
          <t>&lt; .001</t>
        </is>
      </c>
      <c r="G259" t="inlineStr">
        <is>
          <t>✓</t>
        </is>
      </c>
    </row>
    <row r="260">
      <c r="A260" t="inlineStr">
        <is>
          <t>L_a47r_ROI</t>
        </is>
      </c>
      <c r="B260" t="n">
        <v>-0.472</v>
      </c>
      <c r="C260" t="n">
        <v>1150</v>
      </c>
      <c r="D260" t="inlineStr">
        <is>
          <t>&lt; .001</t>
        </is>
      </c>
      <c r="E260" t="inlineStr">
        <is>
          <t>[-0.515, -0.425]</t>
        </is>
      </c>
      <c r="F260" t="inlineStr">
        <is>
          <t>&lt; .001</t>
        </is>
      </c>
      <c r="G260" t="inlineStr">
        <is>
          <t>✓</t>
        </is>
      </c>
    </row>
    <row r="261">
      <c r="A261" t="inlineStr">
        <is>
          <t>L_6r_ROI</t>
        </is>
      </c>
      <c r="B261" t="n">
        <v>-0.627</v>
      </c>
      <c r="C261" t="n">
        <v>1150</v>
      </c>
      <c r="D261" t="inlineStr">
        <is>
          <t>&lt; .001</t>
        </is>
      </c>
      <c r="E261" t="inlineStr">
        <is>
          <t>[-0.661, -0.591]</t>
        </is>
      </c>
      <c r="F261" t="inlineStr">
        <is>
          <t>&lt; .001</t>
        </is>
      </c>
      <c r="G261" t="inlineStr">
        <is>
          <t>✓</t>
        </is>
      </c>
    </row>
    <row r="262">
      <c r="A262" t="inlineStr">
        <is>
          <t>L_IFJa_ROI</t>
        </is>
      </c>
      <c r="B262" t="n">
        <v>-0.5649999999999999</v>
      </c>
      <c r="C262" t="n">
        <v>1150</v>
      </c>
      <c r="D262" t="inlineStr">
        <is>
          <t>&lt; .001</t>
        </is>
      </c>
      <c r="E262" t="inlineStr">
        <is>
          <t>[-0.603, -0.524]</t>
        </is>
      </c>
      <c r="F262" t="inlineStr">
        <is>
          <t>&lt; .001</t>
        </is>
      </c>
      <c r="G262" t="inlineStr">
        <is>
          <t>✓</t>
        </is>
      </c>
    </row>
    <row r="263">
      <c r="A263" t="inlineStr">
        <is>
          <t>L_IFJp_ROI</t>
        </is>
      </c>
      <c r="B263" t="n">
        <v>-0.5669999999999999</v>
      </c>
      <c r="C263" t="n">
        <v>1150</v>
      </c>
      <c r="D263" t="inlineStr">
        <is>
          <t>&lt; .001</t>
        </is>
      </c>
      <c r="E263" t="inlineStr">
        <is>
          <t>[-0.605, -0.527]</t>
        </is>
      </c>
      <c r="F263" t="inlineStr">
        <is>
          <t>&lt; .001</t>
        </is>
      </c>
      <c r="G263" t="inlineStr">
        <is>
          <t>✓</t>
        </is>
      </c>
    </row>
    <row r="264">
      <c r="A264" t="inlineStr">
        <is>
          <t>L_IFSp_ROI</t>
        </is>
      </c>
      <c r="B264" t="n">
        <v>-0.554</v>
      </c>
      <c r="C264" t="n">
        <v>1150</v>
      </c>
      <c r="D264" t="inlineStr">
        <is>
          <t>&lt; .001</t>
        </is>
      </c>
      <c r="E264" t="inlineStr">
        <is>
          <t>[-0.593, -0.513]</t>
        </is>
      </c>
      <c r="F264" t="inlineStr">
        <is>
          <t>&lt; .001</t>
        </is>
      </c>
      <c r="G264" t="inlineStr">
        <is>
          <t>✓</t>
        </is>
      </c>
    </row>
    <row r="265">
      <c r="A265" t="inlineStr">
        <is>
          <t>L_IFSa_ROI</t>
        </is>
      </c>
      <c r="B265" t="n">
        <v>-0.5639999999999999</v>
      </c>
      <c r="C265" t="n">
        <v>1150</v>
      </c>
      <c r="D265" t="inlineStr">
        <is>
          <t>&lt; .001</t>
        </is>
      </c>
      <c r="E265" t="inlineStr">
        <is>
          <t>[-0.602, -0.523]</t>
        </is>
      </c>
      <c r="F265" t="inlineStr">
        <is>
          <t>&lt; .001</t>
        </is>
      </c>
      <c r="G265" t="inlineStr">
        <is>
          <t>✓</t>
        </is>
      </c>
    </row>
    <row r="266">
      <c r="A266" t="inlineStr">
        <is>
          <t>L_p9_46v_ROI</t>
        </is>
      </c>
      <c r="B266" t="n">
        <v>-0.5669999999999999</v>
      </c>
      <c r="C266" t="n">
        <v>1150</v>
      </c>
      <c r="D266" t="inlineStr">
        <is>
          <t>&lt; .001</t>
        </is>
      </c>
      <c r="E266" t="inlineStr">
        <is>
          <t>[-0.605, -0.527]</t>
        </is>
      </c>
      <c r="F266" t="inlineStr">
        <is>
          <t>&lt; .001</t>
        </is>
      </c>
      <c r="G266" t="inlineStr">
        <is>
          <t>✓</t>
        </is>
      </c>
    </row>
    <row r="267">
      <c r="A267" t="inlineStr">
        <is>
          <t>L_46_ROI</t>
        </is>
      </c>
      <c r="B267" t="n">
        <v>-0.5600000000000001</v>
      </c>
      <c r="C267" t="n">
        <v>1150</v>
      </c>
      <c r="D267" t="inlineStr">
        <is>
          <t>&lt; .001</t>
        </is>
      </c>
      <c r="E267" t="inlineStr">
        <is>
          <t>[-0.598, -0.519]</t>
        </is>
      </c>
      <c r="F267" t="inlineStr">
        <is>
          <t>&lt; .001</t>
        </is>
      </c>
      <c r="G267" t="inlineStr">
        <is>
          <t>✓</t>
        </is>
      </c>
    </row>
    <row r="268">
      <c r="A268" t="inlineStr">
        <is>
          <t>L_a9_46v_ROI</t>
        </is>
      </c>
      <c r="B268" t="n">
        <v>-0.553</v>
      </c>
      <c r="C268" t="n">
        <v>1150</v>
      </c>
      <c r="D268" t="inlineStr">
        <is>
          <t>&lt; .001</t>
        </is>
      </c>
      <c r="E268" t="inlineStr">
        <is>
          <t>[-0.592, -0.512]</t>
        </is>
      </c>
      <c r="F268" t="inlineStr">
        <is>
          <t>&lt; .001</t>
        </is>
      </c>
      <c r="G268" t="inlineStr">
        <is>
          <t>✓</t>
        </is>
      </c>
    </row>
    <row r="269">
      <c r="A269" t="inlineStr">
        <is>
          <t>L_9_46d_ROI</t>
        </is>
      </c>
      <c r="B269" t="n">
        <v>-0.594</v>
      </c>
      <c r="C269" t="n">
        <v>1150</v>
      </c>
      <c r="D269" t="inlineStr">
        <is>
          <t>&lt; .001</t>
        </is>
      </c>
      <c r="E269" t="inlineStr">
        <is>
          <t>[-0.630, -0.555]</t>
        </is>
      </c>
      <c r="F269" t="inlineStr">
        <is>
          <t>&lt; .001</t>
        </is>
      </c>
      <c r="G269" t="inlineStr">
        <is>
          <t>✓</t>
        </is>
      </c>
    </row>
    <row r="270">
      <c r="A270" t="inlineStr">
        <is>
          <t>L_9a_ROI</t>
        </is>
      </c>
      <c r="B270" t="n">
        <v>-0.494</v>
      </c>
      <c r="C270" t="n">
        <v>1150</v>
      </c>
      <c r="D270" t="inlineStr">
        <is>
          <t>&lt; .001</t>
        </is>
      </c>
      <c r="E270" t="inlineStr">
        <is>
          <t>[-0.536, -0.449]</t>
        </is>
      </c>
      <c r="F270" t="inlineStr">
        <is>
          <t>&lt; .001</t>
        </is>
      </c>
      <c r="G270" t="inlineStr">
        <is>
          <t>✓</t>
        </is>
      </c>
    </row>
    <row r="271">
      <c r="A271" t="inlineStr">
        <is>
          <t>L_10v_ROI</t>
        </is>
      </c>
      <c r="B271" t="n">
        <v>-0.04</v>
      </c>
      <c r="C271" t="n">
        <v>1150</v>
      </c>
      <c r="D271">
        <f> 0.173</f>
        <v/>
      </c>
      <c r="E271" t="inlineStr">
        <is>
          <t>[-0.098, 0.018]</t>
        </is>
      </c>
      <c r="F271">
        <f> 0.174</f>
        <v/>
      </c>
      <c r="G271" t="inlineStr"/>
    </row>
    <row r="272">
      <c r="A272" t="inlineStr">
        <is>
          <t>L_a10p_ROI</t>
        </is>
      </c>
      <c r="B272" t="n">
        <v>-0.433</v>
      </c>
      <c r="C272" t="n">
        <v>1150</v>
      </c>
      <c r="D272" t="inlineStr">
        <is>
          <t>&lt; .001</t>
        </is>
      </c>
      <c r="E272" t="inlineStr">
        <is>
          <t>[-0.479, -0.385]</t>
        </is>
      </c>
      <c r="F272" t="inlineStr">
        <is>
          <t>&lt; .001</t>
        </is>
      </c>
      <c r="G272" t="inlineStr">
        <is>
          <t>✓</t>
        </is>
      </c>
    </row>
    <row r="273">
      <c r="A273" t="inlineStr">
        <is>
          <t>L_10pp_ROI</t>
        </is>
      </c>
      <c r="B273" t="n">
        <v>-0.288</v>
      </c>
      <c r="C273" t="n">
        <v>1150</v>
      </c>
      <c r="D273" t="inlineStr">
        <is>
          <t>&lt; .001</t>
        </is>
      </c>
      <c r="E273" t="inlineStr">
        <is>
          <t>[-0.341, -0.235]</t>
        </is>
      </c>
      <c r="F273" t="inlineStr">
        <is>
          <t>&lt; .001</t>
        </is>
      </c>
      <c r="G273" t="inlineStr">
        <is>
          <t>✓</t>
        </is>
      </c>
    </row>
    <row r="274">
      <c r="A274" t="inlineStr">
        <is>
          <t>L_11l_ROI</t>
        </is>
      </c>
      <c r="B274" t="n">
        <v>-0.278</v>
      </c>
      <c r="C274" t="n">
        <v>1150</v>
      </c>
      <c r="D274" t="inlineStr">
        <is>
          <t>&lt; .001</t>
        </is>
      </c>
      <c r="E274" t="inlineStr">
        <is>
          <t>[-0.330, -0.223]</t>
        </is>
      </c>
      <c r="F274" t="inlineStr">
        <is>
          <t>&lt; .001</t>
        </is>
      </c>
      <c r="G274" t="inlineStr">
        <is>
          <t>✓</t>
        </is>
      </c>
    </row>
    <row r="275">
      <c r="A275" t="inlineStr">
        <is>
          <t>L_13l_ROI</t>
        </is>
      </c>
      <c r="B275" t="n">
        <v>-0.343</v>
      </c>
      <c r="C275" t="n">
        <v>1150</v>
      </c>
      <c r="D275" t="inlineStr">
        <is>
          <t>&lt; .001</t>
        </is>
      </c>
      <c r="E275" t="inlineStr">
        <is>
          <t>[-0.393, -0.291]</t>
        </is>
      </c>
      <c r="F275" t="inlineStr">
        <is>
          <t>&lt; .001</t>
        </is>
      </c>
      <c r="G275" t="inlineStr">
        <is>
          <t>✓</t>
        </is>
      </c>
    </row>
    <row r="276">
      <c r="A276" t="inlineStr">
        <is>
          <t>L_OFC_ROI</t>
        </is>
      </c>
      <c r="B276" t="n">
        <v>0.15</v>
      </c>
      <c r="C276" t="n">
        <v>1150</v>
      </c>
      <c r="D276" t="inlineStr">
        <is>
          <t>&lt; .001</t>
        </is>
      </c>
      <c r="E276" t="inlineStr">
        <is>
          <t>[0.093, 0.206]</t>
        </is>
      </c>
      <c r="F276" t="inlineStr">
        <is>
          <t>&lt; .001</t>
        </is>
      </c>
      <c r="G276" t="inlineStr">
        <is>
          <t>✓</t>
        </is>
      </c>
    </row>
    <row r="277">
      <c r="A277" t="inlineStr">
        <is>
          <t>L_47s_ROI</t>
        </is>
      </c>
      <c r="B277" t="n">
        <v>-0.392</v>
      </c>
      <c r="C277" t="n">
        <v>1150</v>
      </c>
      <c r="D277" t="inlineStr">
        <is>
          <t>&lt; .001</t>
        </is>
      </c>
      <c r="E277" t="inlineStr">
        <is>
          <t>[-0.440, -0.342]</t>
        </is>
      </c>
      <c r="F277" t="inlineStr">
        <is>
          <t>&lt; .001</t>
        </is>
      </c>
      <c r="G277" t="inlineStr">
        <is>
          <t>✓</t>
        </is>
      </c>
    </row>
    <row r="278">
      <c r="A278" t="inlineStr">
        <is>
          <t>L_LIPd_ROI</t>
        </is>
      </c>
      <c r="B278" t="n">
        <v>-0.5570000000000001</v>
      </c>
      <c r="C278" t="n">
        <v>1150</v>
      </c>
      <c r="D278" t="inlineStr">
        <is>
          <t>&lt; .001</t>
        </is>
      </c>
      <c r="E278" t="inlineStr">
        <is>
          <t>[-0.596, -0.516]</t>
        </is>
      </c>
      <c r="F278" t="inlineStr">
        <is>
          <t>&lt; .001</t>
        </is>
      </c>
      <c r="G278" t="inlineStr">
        <is>
          <t>✓</t>
        </is>
      </c>
    </row>
    <row r="279">
      <c r="A279" t="inlineStr">
        <is>
          <t>L_6a_ROI</t>
        </is>
      </c>
      <c r="B279" t="n">
        <v>-0.644</v>
      </c>
      <c r="C279" t="n">
        <v>1150</v>
      </c>
      <c r="D279" t="inlineStr">
        <is>
          <t>&lt; .001</t>
        </is>
      </c>
      <c r="E279" t="inlineStr">
        <is>
          <t>[-0.677, -0.609]</t>
        </is>
      </c>
      <c r="F279" t="inlineStr">
        <is>
          <t>&lt; .001</t>
        </is>
      </c>
      <c r="G279" t="inlineStr">
        <is>
          <t>✓</t>
        </is>
      </c>
    </row>
    <row r="280">
      <c r="A280" t="inlineStr">
        <is>
          <t>L_i6_8_ROI</t>
        </is>
      </c>
      <c r="B280" t="n">
        <v>-0.57</v>
      </c>
      <c r="C280" t="n">
        <v>1150</v>
      </c>
      <c r="D280" t="inlineStr">
        <is>
          <t>&lt; .001</t>
        </is>
      </c>
      <c r="E280" t="inlineStr">
        <is>
          <t>[-0.608, -0.530]</t>
        </is>
      </c>
      <c r="F280" t="inlineStr">
        <is>
          <t>&lt; .001</t>
        </is>
      </c>
      <c r="G280" t="inlineStr">
        <is>
          <t>✓</t>
        </is>
      </c>
    </row>
    <row r="281">
      <c r="A281" t="inlineStr">
        <is>
          <t>L_s6_8_ROI</t>
        </is>
      </c>
      <c r="B281" t="n">
        <v>-0.51</v>
      </c>
      <c r="C281" t="n">
        <v>1150</v>
      </c>
      <c r="D281" t="inlineStr">
        <is>
          <t>&lt; .001</t>
        </is>
      </c>
      <c r="E281" t="inlineStr">
        <is>
          <t>[-0.552, -0.466]</t>
        </is>
      </c>
      <c r="F281" t="inlineStr">
        <is>
          <t>&lt; .001</t>
        </is>
      </c>
      <c r="G281" t="inlineStr">
        <is>
          <t>✓</t>
        </is>
      </c>
    </row>
    <row r="282">
      <c r="A282" t="inlineStr">
        <is>
          <t>L_43_ROI</t>
        </is>
      </c>
      <c r="B282" t="n">
        <v>-0.606</v>
      </c>
      <c r="C282" t="n">
        <v>1150</v>
      </c>
      <c r="D282" t="inlineStr">
        <is>
          <t>&lt; .001</t>
        </is>
      </c>
      <c r="E282" t="inlineStr">
        <is>
          <t>[-0.641, -0.568]</t>
        </is>
      </c>
      <c r="F282" t="inlineStr">
        <is>
          <t>&lt; .001</t>
        </is>
      </c>
      <c r="G282" t="inlineStr">
        <is>
          <t>✓</t>
        </is>
      </c>
    </row>
    <row r="283">
      <c r="A283" t="inlineStr">
        <is>
          <t>L_OP4_ROI</t>
        </is>
      </c>
      <c r="B283" t="n">
        <v>-0.555</v>
      </c>
      <c r="C283" t="n">
        <v>1150</v>
      </c>
      <c r="D283" t="inlineStr">
        <is>
          <t>&lt; .001</t>
        </is>
      </c>
      <c r="E283" t="inlineStr">
        <is>
          <t>[-0.594, -0.513]</t>
        </is>
      </c>
      <c r="F283" t="inlineStr">
        <is>
          <t>&lt; .001</t>
        </is>
      </c>
      <c r="G283" t="inlineStr">
        <is>
          <t>✓</t>
        </is>
      </c>
    </row>
    <row r="284">
      <c r="A284" t="inlineStr">
        <is>
          <t>L_OP1_ROI</t>
        </is>
      </c>
      <c r="B284" t="n">
        <v>-0.525</v>
      </c>
      <c r="C284" t="n">
        <v>1150</v>
      </c>
      <c r="D284" t="inlineStr">
        <is>
          <t>&lt; .001</t>
        </is>
      </c>
      <c r="E284" t="inlineStr">
        <is>
          <t>[-0.566, -0.482]</t>
        </is>
      </c>
      <c r="F284" t="inlineStr">
        <is>
          <t>&lt; .001</t>
        </is>
      </c>
      <c r="G284" t="inlineStr">
        <is>
          <t>✓</t>
        </is>
      </c>
    </row>
    <row r="285">
      <c r="A285" t="inlineStr">
        <is>
          <t>L_OP2_3_ROI</t>
        </is>
      </c>
      <c r="B285" t="n">
        <v>-0.663</v>
      </c>
      <c r="C285" t="n">
        <v>1150</v>
      </c>
      <c r="D285" t="inlineStr">
        <is>
          <t>&lt; .001</t>
        </is>
      </c>
      <c r="E285" t="inlineStr">
        <is>
          <t>[-0.694, -0.630]</t>
        </is>
      </c>
      <c r="F285" t="inlineStr">
        <is>
          <t>&lt; .001</t>
        </is>
      </c>
      <c r="G285" t="inlineStr">
        <is>
          <t>✓</t>
        </is>
      </c>
    </row>
    <row r="286">
      <c r="A286" t="inlineStr">
        <is>
          <t>L_52_ROI</t>
        </is>
      </c>
      <c r="B286" t="n">
        <v>-0.547</v>
      </c>
      <c r="C286" t="n">
        <v>1150</v>
      </c>
      <c r="D286" t="inlineStr">
        <is>
          <t>&lt; .001</t>
        </is>
      </c>
      <c r="E286" t="inlineStr">
        <is>
          <t>[-0.586, -0.505]</t>
        </is>
      </c>
      <c r="F286" t="inlineStr">
        <is>
          <t>&lt; .001</t>
        </is>
      </c>
      <c r="G286" t="inlineStr">
        <is>
          <t>✓</t>
        </is>
      </c>
    </row>
    <row r="287">
      <c r="A287" t="inlineStr">
        <is>
          <t>L_RI_ROI</t>
        </is>
      </c>
      <c r="B287" t="n">
        <v>-0.672</v>
      </c>
      <c r="C287" t="n">
        <v>1150</v>
      </c>
      <c r="D287" t="inlineStr">
        <is>
          <t>&lt; .001</t>
        </is>
      </c>
      <c r="E287" t="inlineStr">
        <is>
          <t>[-0.702, -0.639]</t>
        </is>
      </c>
      <c r="F287" t="inlineStr">
        <is>
          <t>&lt; .001</t>
        </is>
      </c>
      <c r="G287" t="inlineStr">
        <is>
          <t>✓</t>
        </is>
      </c>
    </row>
    <row r="288">
      <c r="A288" t="inlineStr">
        <is>
          <t>L_PFcm_ROI</t>
        </is>
      </c>
      <c r="B288" t="n">
        <v>-0.522</v>
      </c>
      <c r="C288" t="n">
        <v>1150</v>
      </c>
      <c r="D288" t="inlineStr">
        <is>
          <t>&lt; .001</t>
        </is>
      </c>
      <c r="E288" t="inlineStr">
        <is>
          <t>[-0.563, -0.479]</t>
        </is>
      </c>
      <c r="F288" t="inlineStr">
        <is>
          <t>&lt; .001</t>
        </is>
      </c>
      <c r="G288" t="inlineStr">
        <is>
          <t>✓</t>
        </is>
      </c>
    </row>
    <row r="289">
      <c r="A289" t="inlineStr">
        <is>
          <t>L_PoI2_ROI</t>
        </is>
      </c>
      <c r="B289" t="n">
        <v>-0.23</v>
      </c>
      <c r="C289" t="n">
        <v>1150</v>
      </c>
      <c r="D289" t="inlineStr">
        <is>
          <t>&lt; .001</t>
        </is>
      </c>
      <c r="E289" t="inlineStr">
        <is>
          <t>[-0.284, -0.175]</t>
        </is>
      </c>
      <c r="F289" t="inlineStr">
        <is>
          <t>&lt; .001</t>
        </is>
      </c>
      <c r="G289" t="inlineStr">
        <is>
          <t>✓</t>
        </is>
      </c>
    </row>
    <row r="290">
      <c r="A290" t="inlineStr">
        <is>
          <t>L_TA2_ROI</t>
        </is>
      </c>
      <c r="B290" t="n">
        <v>-0.526</v>
      </c>
      <c r="C290" t="n">
        <v>1150</v>
      </c>
      <c r="D290" t="inlineStr">
        <is>
          <t>&lt; .001</t>
        </is>
      </c>
      <c r="E290" t="inlineStr">
        <is>
          <t>[-0.567, -0.483]</t>
        </is>
      </c>
      <c r="F290" t="inlineStr">
        <is>
          <t>&lt; .001</t>
        </is>
      </c>
      <c r="G290" t="inlineStr">
        <is>
          <t>✓</t>
        </is>
      </c>
    </row>
    <row r="291">
      <c r="A291" t="inlineStr">
        <is>
          <t>L_FOP4_ROI</t>
        </is>
      </c>
      <c r="B291" t="n">
        <v>-0.681</v>
      </c>
      <c r="C291" t="n">
        <v>1150</v>
      </c>
      <c r="D291" t="inlineStr">
        <is>
          <t>&lt; .001</t>
        </is>
      </c>
      <c r="E291" t="inlineStr">
        <is>
          <t>[-0.711, -0.649]</t>
        </is>
      </c>
      <c r="F291" t="inlineStr">
        <is>
          <t>&lt; .001</t>
        </is>
      </c>
      <c r="G291" t="inlineStr">
        <is>
          <t>✓</t>
        </is>
      </c>
    </row>
    <row r="292">
      <c r="A292" t="inlineStr">
        <is>
          <t>L_MI_ROI</t>
        </is>
      </c>
      <c r="B292" t="n">
        <v>-0.372</v>
      </c>
      <c r="C292" t="n">
        <v>1150</v>
      </c>
      <c r="D292" t="inlineStr">
        <is>
          <t>&lt; .001</t>
        </is>
      </c>
      <c r="E292" t="inlineStr">
        <is>
          <t>[-0.421, -0.321]</t>
        </is>
      </c>
      <c r="F292" t="inlineStr">
        <is>
          <t>&lt; .001</t>
        </is>
      </c>
      <c r="G292" t="inlineStr">
        <is>
          <t>✓</t>
        </is>
      </c>
    </row>
    <row r="293">
      <c r="A293" t="inlineStr">
        <is>
          <t>L_Pir_ROI</t>
        </is>
      </c>
      <c r="B293" t="n">
        <v>-0.376</v>
      </c>
      <c r="C293" t="n">
        <v>1150</v>
      </c>
      <c r="D293" t="inlineStr">
        <is>
          <t>&lt; .001</t>
        </is>
      </c>
      <c r="E293" t="inlineStr">
        <is>
          <t>[-0.424, -0.325]</t>
        </is>
      </c>
      <c r="F293" t="inlineStr">
        <is>
          <t>&lt; .001</t>
        </is>
      </c>
      <c r="G293" t="inlineStr">
        <is>
          <t>✓</t>
        </is>
      </c>
    </row>
    <row r="294">
      <c r="A294" t="inlineStr">
        <is>
          <t>L_AVI_ROI</t>
        </is>
      </c>
      <c r="B294" t="n">
        <v>-0.525</v>
      </c>
      <c r="C294" t="n">
        <v>1150</v>
      </c>
      <c r="D294" t="inlineStr">
        <is>
          <t>&lt; .001</t>
        </is>
      </c>
      <c r="E294" t="inlineStr">
        <is>
          <t>[-0.565, -0.482]</t>
        </is>
      </c>
      <c r="F294" t="inlineStr">
        <is>
          <t>&lt; .001</t>
        </is>
      </c>
      <c r="G294" t="inlineStr">
        <is>
          <t>✓</t>
        </is>
      </c>
    </row>
    <row r="295">
      <c r="A295" t="inlineStr">
        <is>
          <t>L_AAIC_ROI</t>
        </is>
      </c>
      <c r="B295" t="n">
        <v>-0.407</v>
      </c>
      <c r="C295" t="n">
        <v>1150</v>
      </c>
      <c r="D295" t="inlineStr">
        <is>
          <t>&lt; .001</t>
        </is>
      </c>
      <c r="E295" t="inlineStr">
        <is>
          <t>[-0.454, -0.357]</t>
        </is>
      </c>
      <c r="F295" t="inlineStr">
        <is>
          <t>&lt; .001</t>
        </is>
      </c>
      <c r="G295" t="inlineStr">
        <is>
          <t>✓</t>
        </is>
      </c>
    </row>
    <row r="296">
      <c r="A296" t="inlineStr">
        <is>
          <t>L_FOP1_ROI</t>
        </is>
      </c>
      <c r="B296" t="n">
        <v>-0.527</v>
      </c>
      <c r="C296" t="n">
        <v>1150</v>
      </c>
      <c r="D296" t="inlineStr">
        <is>
          <t>&lt; .001</t>
        </is>
      </c>
      <c r="E296" t="inlineStr">
        <is>
          <t>[-0.567, -0.484]</t>
        </is>
      </c>
      <c r="F296" t="inlineStr">
        <is>
          <t>&lt; .001</t>
        </is>
      </c>
      <c r="G296" t="inlineStr">
        <is>
          <t>✓</t>
        </is>
      </c>
    </row>
    <row r="297">
      <c r="A297" t="inlineStr">
        <is>
          <t>L_FOP3_ROI</t>
        </is>
      </c>
      <c r="B297" t="n">
        <v>-0.549</v>
      </c>
      <c r="C297" t="n">
        <v>1150</v>
      </c>
      <c r="D297" t="inlineStr">
        <is>
          <t>&lt; .001</t>
        </is>
      </c>
      <c r="E297" t="inlineStr">
        <is>
          <t>[-0.588, -0.508]</t>
        </is>
      </c>
      <c r="F297" t="inlineStr">
        <is>
          <t>&lt; .001</t>
        </is>
      </c>
      <c r="G297" t="inlineStr">
        <is>
          <t>✓</t>
        </is>
      </c>
    </row>
    <row r="298">
      <c r="A298" t="inlineStr">
        <is>
          <t>L_FOP2_ROI</t>
        </is>
      </c>
      <c r="B298" t="n">
        <v>-0.5620000000000001</v>
      </c>
      <c r="C298" t="n">
        <v>1150</v>
      </c>
      <c r="D298" t="inlineStr">
        <is>
          <t>&lt; .001</t>
        </is>
      </c>
      <c r="E298" t="inlineStr">
        <is>
          <t>[-0.601, -0.521]</t>
        </is>
      </c>
      <c r="F298" t="inlineStr">
        <is>
          <t>&lt; .001</t>
        </is>
      </c>
      <c r="G298" t="inlineStr">
        <is>
          <t>✓</t>
        </is>
      </c>
    </row>
    <row r="299">
      <c r="A299" t="inlineStr">
        <is>
          <t>L_PFt_ROI</t>
        </is>
      </c>
      <c r="B299" t="n">
        <v>-0.531</v>
      </c>
      <c r="C299" t="n">
        <v>1150</v>
      </c>
      <c r="D299" t="inlineStr">
        <is>
          <t>&lt; .001</t>
        </is>
      </c>
      <c r="E299" t="inlineStr">
        <is>
          <t>[-0.571, -0.488]</t>
        </is>
      </c>
      <c r="F299" t="inlineStr">
        <is>
          <t>&lt; .001</t>
        </is>
      </c>
      <c r="G299" t="inlineStr">
        <is>
          <t>✓</t>
        </is>
      </c>
    </row>
    <row r="300">
      <c r="A300" t="inlineStr">
        <is>
          <t>L_AIP_ROI</t>
        </is>
      </c>
      <c r="B300" t="n">
        <v>-0.622</v>
      </c>
      <c r="C300" t="n">
        <v>1150</v>
      </c>
      <c r="D300" t="inlineStr">
        <is>
          <t>&lt; .001</t>
        </is>
      </c>
      <c r="E300" t="inlineStr">
        <is>
          <t>[-0.656, -0.585]</t>
        </is>
      </c>
      <c r="F300" t="inlineStr">
        <is>
          <t>&lt; .001</t>
        </is>
      </c>
      <c r="G300" t="inlineStr">
        <is>
          <t>✓</t>
        </is>
      </c>
    </row>
    <row r="301">
      <c r="A301" t="inlineStr">
        <is>
          <t>L_EC_ROI</t>
        </is>
      </c>
      <c r="B301" t="n">
        <v>-0.249</v>
      </c>
      <c r="C301" t="n">
        <v>1150</v>
      </c>
      <c r="D301" t="inlineStr">
        <is>
          <t>&lt; .001</t>
        </is>
      </c>
      <c r="E301" t="inlineStr">
        <is>
          <t>[-0.302, -0.194]</t>
        </is>
      </c>
      <c r="F301" t="inlineStr">
        <is>
          <t>&lt; .001</t>
        </is>
      </c>
      <c r="G301" t="inlineStr">
        <is>
          <t>✓</t>
        </is>
      </c>
    </row>
    <row r="302">
      <c r="A302" t="inlineStr">
        <is>
          <t>L_PreS_ROI</t>
        </is>
      </c>
      <c r="B302" t="n">
        <v>-0.319</v>
      </c>
      <c r="C302" t="n">
        <v>1150</v>
      </c>
      <c r="D302" t="inlineStr">
        <is>
          <t>&lt; .001</t>
        </is>
      </c>
      <c r="E302" t="inlineStr">
        <is>
          <t>[-0.370, -0.267]</t>
        </is>
      </c>
      <c r="F302" t="inlineStr">
        <is>
          <t>&lt; .001</t>
        </is>
      </c>
      <c r="G302" t="inlineStr">
        <is>
          <t>✓</t>
        </is>
      </c>
    </row>
    <row r="303">
      <c r="A303" t="inlineStr">
        <is>
          <t>L_H_ROI</t>
        </is>
      </c>
      <c r="B303" t="n">
        <v>-0.549</v>
      </c>
      <c r="C303" t="n">
        <v>1150</v>
      </c>
      <c r="D303" t="inlineStr">
        <is>
          <t>&lt; .001</t>
        </is>
      </c>
      <c r="E303" t="inlineStr">
        <is>
          <t>[-0.588, -0.508]</t>
        </is>
      </c>
      <c r="F303" t="inlineStr">
        <is>
          <t>&lt; .001</t>
        </is>
      </c>
      <c r="G303" t="inlineStr">
        <is>
          <t>✓</t>
        </is>
      </c>
    </row>
    <row r="304">
      <c r="A304" t="inlineStr">
        <is>
          <t>L_ProS_ROI</t>
        </is>
      </c>
      <c r="B304" t="n">
        <v>-0.5669999999999999</v>
      </c>
      <c r="C304" t="n">
        <v>1150</v>
      </c>
      <c r="D304" t="inlineStr">
        <is>
          <t>&lt; .001</t>
        </is>
      </c>
      <c r="E304" t="inlineStr">
        <is>
          <t>[-0.605, -0.526]</t>
        </is>
      </c>
      <c r="F304" t="inlineStr">
        <is>
          <t>&lt; .001</t>
        </is>
      </c>
      <c r="G304" t="inlineStr">
        <is>
          <t>✓</t>
        </is>
      </c>
    </row>
    <row r="305">
      <c r="A305" t="inlineStr">
        <is>
          <t>L_PeEc_ROI</t>
        </is>
      </c>
      <c r="B305" t="n">
        <v>-0.467</v>
      </c>
      <c r="C305" t="n">
        <v>1150</v>
      </c>
      <c r="D305" t="inlineStr">
        <is>
          <t>&lt; .001</t>
        </is>
      </c>
      <c r="E305" t="inlineStr">
        <is>
          <t>[-0.511, -0.420]</t>
        </is>
      </c>
      <c r="F305" t="inlineStr">
        <is>
          <t>&lt; .001</t>
        </is>
      </c>
      <c r="G305" t="inlineStr">
        <is>
          <t>✓</t>
        </is>
      </c>
    </row>
    <row r="306">
      <c r="A306" t="inlineStr">
        <is>
          <t>L_STGa_ROI</t>
        </is>
      </c>
      <c r="B306" t="n">
        <v>-0.498</v>
      </c>
      <c r="C306" t="n">
        <v>1150</v>
      </c>
      <c r="D306" t="inlineStr">
        <is>
          <t>&lt; .001</t>
        </is>
      </c>
      <c r="E306" t="inlineStr">
        <is>
          <t>[-0.540, -0.453]</t>
        </is>
      </c>
      <c r="F306" t="inlineStr">
        <is>
          <t>&lt; .001</t>
        </is>
      </c>
      <c r="G306" t="inlineStr">
        <is>
          <t>✓</t>
        </is>
      </c>
    </row>
    <row r="307">
      <c r="A307" t="inlineStr">
        <is>
          <t>L_PBelt_ROI</t>
        </is>
      </c>
      <c r="B307" t="n">
        <v>-0.618</v>
      </c>
      <c r="C307" t="n">
        <v>1150</v>
      </c>
      <c r="D307" t="inlineStr">
        <is>
          <t>&lt; .001</t>
        </is>
      </c>
      <c r="E307" t="inlineStr">
        <is>
          <t>[-0.652, -0.581]</t>
        </is>
      </c>
      <c r="F307" t="inlineStr">
        <is>
          <t>&lt; .001</t>
        </is>
      </c>
      <c r="G307" t="inlineStr">
        <is>
          <t>✓</t>
        </is>
      </c>
    </row>
    <row r="308">
      <c r="A308" t="inlineStr">
        <is>
          <t>L_A5_ROI</t>
        </is>
      </c>
      <c r="B308" t="n">
        <v>-0.61</v>
      </c>
      <c r="C308" t="n">
        <v>1150</v>
      </c>
      <c r="D308" t="inlineStr">
        <is>
          <t>&lt; .001</t>
        </is>
      </c>
      <c r="E308" t="inlineStr">
        <is>
          <t>[-0.645, -0.573]</t>
        </is>
      </c>
      <c r="F308" t="inlineStr">
        <is>
          <t>&lt; .001</t>
        </is>
      </c>
      <c r="G308" t="inlineStr">
        <is>
          <t>✓</t>
        </is>
      </c>
    </row>
    <row r="309">
      <c r="A309" t="inlineStr">
        <is>
          <t>L_PHA1_ROI</t>
        </is>
      </c>
      <c r="B309" t="n">
        <v>-0.42</v>
      </c>
      <c r="C309" t="n">
        <v>1150</v>
      </c>
      <c r="D309" t="inlineStr">
        <is>
          <t>&lt; .001</t>
        </is>
      </c>
      <c r="E309" t="inlineStr">
        <is>
          <t>[-0.466, -0.371]</t>
        </is>
      </c>
      <c r="F309" t="inlineStr">
        <is>
          <t>&lt; .001</t>
        </is>
      </c>
      <c r="G309" t="inlineStr">
        <is>
          <t>✓</t>
        </is>
      </c>
    </row>
    <row r="310">
      <c r="A310" t="inlineStr">
        <is>
          <t>L_PHA3_ROI</t>
        </is>
      </c>
      <c r="B310" t="n">
        <v>-0.435</v>
      </c>
      <c r="C310" t="n">
        <v>1150</v>
      </c>
      <c r="D310" t="inlineStr">
        <is>
          <t>&lt; .001</t>
        </is>
      </c>
      <c r="E310" t="inlineStr">
        <is>
          <t>[-0.481, -0.387]</t>
        </is>
      </c>
      <c r="F310" t="inlineStr">
        <is>
          <t>&lt; .001</t>
        </is>
      </c>
      <c r="G310" t="inlineStr">
        <is>
          <t>✓</t>
        </is>
      </c>
    </row>
    <row r="311">
      <c r="A311" t="inlineStr">
        <is>
          <t>L_STSda_ROI</t>
        </is>
      </c>
      <c r="B311" t="n">
        <v>-0.541</v>
      </c>
      <c r="C311" t="n">
        <v>1150</v>
      </c>
      <c r="D311" t="inlineStr">
        <is>
          <t>&lt; .001</t>
        </is>
      </c>
      <c r="E311" t="inlineStr">
        <is>
          <t>[-0.581, -0.499]</t>
        </is>
      </c>
      <c r="F311" t="inlineStr">
        <is>
          <t>&lt; .001</t>
        </is>
      </c>
      <c r="G311" t="inlineStr">
        <is>
          <t>✓</t>
        </is>
      </c>
    </row>
    <row r="312">
      <c r="A312" t="inlineStr">
        <is>
          <t>L_STSdp_ROI</t>
        </is>
      </c>
      <c r="B312" t="n">
        <v>-0.628</v>
      </c>
      <c r="C312" t="n">
        <v>1150</v>
      </c>
      <c r="D312" t="inlineStr">
        <is>
          <t>&lt; .001</t>
        </is>
      </c>
      <c r="E312" t="inlineStr">
        <is>
          <t>[-0.662, -0.592]</t>
        </is>
      </c>
      <c r="F312" t="inlineStr">
        <is>
          <t>&lt; .001</t>
        </is>
      </c>
      <c r="G312" t="inlineStr">
        <is>
          <t>✓</t>
        </is>
      </c>
    </row>
    <row r="313">
      <c r="A313" t="inlineStr">
        <is>
          <t>L_STSvp_ROI</t>
        </is>
      </c>
      <c r="B313" t="n">
        <v>-0.579</v>
      </c>
      <c r="C313" t="n">
        <v>1150</v>
      </c>
      <c r="D313" t="inlineStr">
        <is>
          <t>&lt; .001</t>
        </is>
      </c>
      <c r="E313" t="inlineStr">
        <is>
          <t>[-0.616, -0.539]</t>
        </is>
      </c>
      <c r="F313" t="inlineStr">
        <is>
          <t>&lt; .001</t>
        </is>
      </c>
      <c r="G313" t="inlineStr">
        <is>
          <t>✓</t>
        </is>
      </c>
    </row>
    <row r="314">
      <c r="A314" t="inlineStr">
        <is>
          <t>L_TGd_ROI</t>
        </is>
      </c>
      <c r="B314" t="n">
        <v>-0.571</v>
      </c>
      <c r="C314" t="n">
        <v>1150</v>
      </c>
      <c r="D314" t="inlineStr">
        <is>
          <t>&lt; .001</t>
        </is>
      </c>
      <c r="E314" t="inlineStr">
        <is>
          <t>[-0.609, -0.531]</t>
        </is>
      </c>
      <c r="F314" t="inlineStr">
        <is>
          <t>&lt; .001</t>
        </is>
      </c>
      <c r="G314" t="inlineStr">
        <is>
          <t>✓</t>
        </is>
      </c>
    </row>
    <row r="315">
      <c r="A315" t="inlineStr">
        <is>
          <t>L_TE1a_ROI</t>
        </is>
      </c>
      <c r="B315" t="n">
        <v>-0.555</v>
      </c>
      <c r="C315" t="n">
        <v>1150</v>
      </c>
      <c r="D315" t="inlineStr">
        <is>
          <t>&lt; .001</t>
        </is>
      </c>
      <c r="E315" t="inlineStr">
        <is>
          <t>[-0.593, -0.513]</t>
        </is>
      </c>
      <c r="F315" t="inlineStr">
        <is>
          <t>&lt; .001</t>
        </is>
      </c>
      <c r="G315" t="inlineStr">
        <is>
          <t>✓</t>
        </is>
      </c>
    </row>
    <row r="316">
      <c r="A316" t="inlineStr">
        <is>
          <t>L_TE1p_ROI</t>
        </is>
      </c>
      <c r="B316" t="n">
        <v>-0.554</v>
      </c>
      <c r="C316" t="n">
        <v>1150</v>
      </c>
      <c r="D316" t="inlineStr">
        <is>
          <t>&lt; .001</t>
        </is>
      </c>
      <c r="E316" t="inlineStr">
        <is>
          <t>[-0.592, -0.512]</t>
        </is>
      </c>
      <c r="F316" t="inlineStr">
        <is>
          <t>&lt; .001</t>
        </is>
      </c>
      <c r="G316" t="inlineStr">
        <is>
          <t>✓</t>
        </is>
      </c>
    </row>
    <row r="317">
      <c r="A317" t="inlineStr">
        <is>
          <t>L_TE2a_ROI</t>
        </is>
      </c>
      <c r="B317" t="n">
        <v>-0.353</v>
      </c>
      <c r="C317" t="n">
        <v>1150</v>
      </c>
      <c r="D317" t="inlineStr">
        <is>
          <t>&lt; .001</t>
        </is>
      </c>
      <c r="E317" t="inlineStr">
        <is>
          <t>[-0.403, -0.302]</t>
        </is>
      </c>
      <c r="F317" t="inlineStr">
        <is>
          <t>&lt; .001</t>
        </is>
      </c>
      <c r="G317" t="inlineStr">
        <is>
          <t>✓</t>
        </is>
      </c>
    </row>
    <row r="318">
      <c r="A318" t="inlineStr">
        <is>
          <t>L_TF_ROI</t>
        </is>
      </c>
      <c r="B318" t="n">
        <v>-0.39</v>
      </c>
      <c r="C318" t="n">
        <v>1150</v>
      </c>
      <c r="D318" t="inlineStr">
        <is>
          <t>&lt; .001</t>
        </is>
      </c>
      <c r="E318" t="inlineStr">
        <is>
          <t>[-0.438, -0.340]</t>
        </is>
      </c>
      <c r="F318" t="inlineStr">
        <is>
          <t>&lt; .001</t>
        </is>
      </c>
      <c r="G318" t="inlineStr">
        <is>
          <t>✓</t>
        </is>
      </c>
    </row>
    <row r="319">
      <c r="A319" t="inlineStr">
        <is>
          <t>L_TE2p_ROI</t>
        </is>
      </c>
      <c r="B319" t="n">
        <v>-0.312</v>
      </c>
      <c r="C319" t="n">
        <v>1150</v>
      </c>
      <c r="D319" t="inlineStr">
        <is>
          <t>&lt; .001</t>
        </is>
      </c>
      <c r="E319" t="inlineStr">
        <is>
          <t>[-0.363, -0.259]</t>
        </is>
      </c>
      <c r="F319" t="inlineStr">
        <is>
          <t>&lt; .001</t>
        </is>
      </c>
      <c r="G319" t="inlineStr">
        <is>
          <t>✓</t>
        </is>
      </c>
    </row>
    <row r="320">
      <c r="A320" t="inlineStr">
        <is>
          <t>L_PHT_ROI</t>
        </is>
      </c>
      <c r="B320" t="n">
        <v>-0.538</v>
      </c>
      <c r="C320" t="n">
        <v>1150</v>
      </c>
      <c r="D320" t="inlineStr">
        <is>
          <t>&lt; .001</t>
        </is>
      </c>
      <c r="E320" t="inlineStr">
        <is>
          <t>[-0.578, -0.496]</t>
        </is>
      </c>
      <c r="F320" t="inlineStr">
        <is>
          <t>&lt; .001</t>
        </is>
      </c>
      <c r="G320" t="inlineStr">
        <is>
          <t>✓</t>
        </is>
      </c>
    </row>
    <row r="321">
      <c r="A321" t="inlineStr">
        <is>
          <t>L_PH_ROI</t>
        </is>
      </c>
      <c r="B321" t="n">
        <v>-0.478</v>
      </c>
      <c r="C321" t="n">
        <v>1150</v>
      </c>
      <c r="D321" t="inlineStr">
        <is>
          <t>&lt; .001</t>
        </is>
      </c>
      <c r="E321" t="inlineStr">
        <is>
          <t>[-0.522, -0.433]</t>
        </is>
      </c>
      <c r="F321" t="inlineStr">
        <is>
          <t>&lt; .001</t>
        </is>
      </c>
      <c r="G321" t="inlineStr">
        <is>
          <t>✓</t>
        </is>
      </c>
    </row>
    <row r="322">
      <c r="A322" t="inlineStr">
        <is>
          <t>L_TPOJ1_ROI</t>
        </is>
      </c>
      <c r="B322" t="n">
        <v>-0.626</v>
      </c>
      <c r="C322" t="n">
        <v>1150</v>
      </c>
      <c r="D322" t="inlineStr">
        <is>
          <t>&lt; .001</t>
        </is>
      </c>
      <c r="E322" t="inlineStr">
        <is>
          <t>[-0.660, -0.590]</t>
        </is>
      </c>
      <c r="F322" t="inlineStr">
        <is>
          <t>&lt; .001</t>
        </is>
      </c>
      <c r="G322" t="inlineStr">
        <is>
          <t>✓</t>
        </is>
      </c>
    </row>
    <row r="323">
      <c r="A323" t="inlineStr">
        <is>
          <t>L_TPOJ2_ROI</t>
        </is>
      </c>
      <c r="B323" t="n">
        <v>-0.601</v>
      </c>
      <c r="C323" t="n">
        <v>1150</v>
      </c>
      <c r="D323" t="inlineStr">
        <is>
          <t>&lt; .001</t>
        </is>
      </c>
      <c r="E323" t="inlineStr">
        <is>
          <t>[-0.637, -0.563]</t>
        </is>
      </c>
      <c r="F323" t="inlineStr">
        <is>
          <t>&lt; .001</t>
        </is>
      </c>
      <c r="G323" t="inlineStr">
        <is>
          <t>✓</t>
        </is>
      </c>
    </row>
    <row r="324">
      <c r="A324" t="inlineStr">
        <is>
          <t>L_TPOJ3_ROI</t>
        </is>
      </c>
      <c r="B324" t="n">
        <v>-0.541</v>
      </c>
      <c r="C324" t="n">
        <v>1150</v>
      </c>
      <c r="D324" t="inlineStr">
        <is>
          <t>&lt; .001</t>
        </is>
      </c>
      <c r="E324" t="inlineStr">
        <is>
          <t>[-0.581, -0.499]</t>
        </is>
      </c>
      <c r="F324" t="inlineStr">
        <is>
          <t>&lt; .001</t>
        </is>
      </c>
      <c r="G324" t="inlineStr">
        <is>
          <t>✓</t>
        </is>
      </c>
    </row>
    <row r="325">
      <c r="A325" t="inlineStr">
        <is>
          <t>L_DVT_ROI</t>
        </is>
      </c>
      <c r="B325" t="n">
        <v>-0.607</v>
      </c>
      <c r="C325" t="n">
        <v>1150</v>
      </c>
      <c r="D325" t="inlineStr">
        <is>
          <t>&lt; .001</t>
        </is>
      </c>
      <c r="E325" t="inlineStr">
        <is>
          <t>[-0.642, -0.569]</t>
        </is>
      </c>
      <c r="F325" t="inlineStr">
        <is>
          <t>&lt; .001</t>
        </is>
      </c>
      <c r="G325" t="inlineStr">
        <is>
          <t>✓</t>
        </is>
      </c>
    </row>
    <row r="326">
      <c r="A326" t="inlineStr">
        <is>
          <t>L_PGp_ROI</t>
        </is>
      </c>
      <c r="B326" t="n">
        <v>-0.5580000000000001</v>
      </c>
      <c r="C326" t="n">
        <v>1150</v>
      </c>
      <c r="D326" t="inlineStr">
        <is>
          <t>&lt; .001</t>
        </is>
      </c>
      <c r="E326" t="inlineStr">
        <is>
          <t>[-0.597, -0.517]</t>
        </is>
      </c>
      <c r="F326" t="inlineStr">
        <is>
          <t>&lt; .001</t>
        </is>
      </c>
      <c r="G326" t="inlineStr">
        <is>
          <t>✓</t>
        </is>
      </c>
    </row>
    <row r="327">
      <c r="A327" t="inlineStr">
        <is>
          <t>L_IP2_ROI</t>
        </is>
      </c>
      <c r="B327" t="n">
        <v>-0.5600000000000001</v>
      </c>
      <c r="C327" t="n">
        <v>1150</v>
      </c>
      <c r="D327" t="inlineStr">
        <is>
          <t>&lt; .001</t>
        </is>
      </c>
      <c r="E327" t="inlineStr">
        <is>
          <t>[-0.599, -0.519]</t>
        </is>
      </c>
      <c r="F327" t="inlineStr">
        <is>
          <t>&lt; .001</t>
        </is>
      </c>
      <c r="G327" t="inlineStr">
        <is>
          <t>✓</t>
        </is>
      </c>
    </row>
    <row r="328">
      <c r="A328" t="inlineStr">
        <is>
          <t>L_IP1_ROI</t>
        </is>
      </c>
      <c r="B328" t="n">
        <v>-0.556</v>
      </c>
      <c r="C328" t="n">
        <v>1150</v>
      </c>
      <c r="D328" t="inlineStr">
        <is>
          <t>&lt; .001</t>
        </is>
      </c>
      <c r="E328" t="inlineStr">
        <is>
          <t>[-0.595, -0.515]</t>
        </is>
      </c>
      <c r="F328" t="inlineStr">
        <is>
          <t>&lt; .001</t>
        </is>
      </c>
      <c r="G328" t="inlineStr">
        <is>
          <t>✓</t>
        </is>
      </c>
    </row>
    <row r="329">
      <c r="A329" t="inlineStr">
        <is>
          <t>L_IP0_ROI</t>
        </is>
      </c>
      <c r="B329" t="n">
        <v>-0.505</v>
      </c>
      <c r="C329" t="n">
        <v>1150</v>
      </c>
      <c r="D329" t="inlineStr">
        <is>
          <t>&lt; .001</t>
        </is>
      </c>
      <c r="E329" t="inlineStr">
        <is>
          <t>[-0.547, -0.460]</t>
        </is>
      </c>
      <c r="F329" t="inlineStr">
        <is>
          <t>&lt; .001</t>
        </is>
      </c>
      <c r="G329" t="inlineStr">
        <is>
          <t>✓</t>
        </is>
      </c>
    </row>
    <row r="330">
      <c r="A330" t="inlineStr">
        <is>
          <t>L_PFop_ROI</t>
        </is>
      </c>
      <c r="B330" t="n">
        <v>-0.507</v>
      </c>
      <c r="C330" t="n">
        <v>1150</v>
      </c>
      <c r="D330" t="inlineStr">
        <is>
          <t>&lt; .001</t>
        </is>
      </c>
      <c r="E330" t="inlineStr">
        <is>
          <t>[-0.548, -0.462]</t>
        </is>
      </c>
      <c r="F330" t="inlineStr">
        <is>
          <t>&lt; .001</t>
        </is>
      </c>
      <c r="G330" t="inlineStr">
        <is>
          <t>✓</t>
        </is>
      </c>
    </row>
    <row r="331">
      <c r="A331" t="inlineStr">
        <is>
          <t>L_PF_ROI</t>
        </is>
      </c>
      <c r="B331" t="n">
        <v>-0.615</v>
      </c>
      <c r="C331" t="n">
        <v>1150</v>
      </c>
      <c r="D331" t="inlineStr">
        <is>
          <t>&lt; .001</t>
        </is>
      </c>
      <c r="E331" t="inlineStr">
        <is>
          <t>[-0.650, -0.578]</t>
        </is>
      </c>
      <c r="F331" t="inlineStr">
        <is>
          <t>&lt; .001</t>
        </is>
      </c>
      <c r="G331" t="inlineStr">
        <is>
          <t>✓</t>
        </is>
      </c>
    </row>
    <row r="332">
      <c r="A332" t="inlineStr">
        <is>
          <t>L_PFm_ROI</t>
        </is>
      </c>
      <c r="B332" t="n">
        <v>-0.652</v>
      </c>
      <c r="C332" t="n">
        <v>1150</v>
      </c>
      <c r="D332" t="inlineStr">
        <is>
          <t>&lt; .001</t>
        </is>
      </c>
      <c r="E332" t="inlineStr">
        <is>
          <t>[-0.684, -0.617]</t>
        </is>
      </c>
      <c r="F332" t="inlineStr">
        <is>
          <t>&lt; .001</t>
        </is>
      </c>
      <c r="G332" t="inlineStr">
        <is>
          <t>✓</t>
        </is>
      </c>
    </row>
    <row r="333">
      <c r="A333" t="inlineStr">
        <is>
          <t>L_PGi_ROI</t>
        </is>
      </c>
      <c r="B333" t="n">
        <v>-0.697</v>
      </c>
      <c r="C333" t="n">
        <v>1150</v>
      </c>
      <c r="D333" t="inlineStr">
        <is>
          <t>&lt; .001</t>
        </is>
      </c>
      <c r="E333" t="inlineStr">
        <is>
          <t>[-0.726, -0.666]</t>
        </is>
      </c>
      <c r="F333" t="inlineStr">
        <is>
          <t>&lt; .001</t>
        </is>
      </c>
      <c r="G333" t="inlineStr">
        <is>
          <t>✓</t>
        </is>
      </c>
    </row>
    <row r="334">
      <c r="A334" t="inlineStr">
        <is>
          <t>L_PGs_ROI</t>
        </is>
      </c>
      <c r="B334" t="n">
        <v>-0.656</v>
      </c>
      <c r="C334" t="n">
        <v>1150</v>
      </c>
      <c r="D334" t="inlineStr">
        <is>
          <t>&lt; .001</t>
        </is>
      </c>
      <c r="E334" t="inlineStr">
        <is>
          <t>[-0.688, -0.622]</t>
        </is>
      </c>
      <c r="F334" t="inlineStr">
        <is>
          <t>&lt; .001</t>
        </is>
      </c>
      <c r="G334" t="inlineStr">
        <is>
          <t>✓</t>
        </is>
      </c>
    </row>
    <row r="335">
      <c r="A335" t="inlineStr">
        <is>
          <t>L_V6A_ROI</t>
        </is>
      </c>
      <c r="B335" t="n">
        <v>-0.468</v>
      </c>
      <c r="C335" t="n">
        <v>1150</v>
      </c>
      <c r="D335" t="inlineStr">
        <is>
          <t>&lt; .001</t>
        </is>
      </c>
      <c r="E335" t="inlineStr">
        <is>
          <t>[-0.512, -0.422]</t>
        </is>
      </c>
      <c r="F335" t="inlineStr">
        <is>
          <t>&lt; .001</t>
        </is>
      </c>
      <c r="G335" t="inlineStr">
        <is>
          <t>✓</t>
        </is>
      </c>
    </row>
    <row r="336">
      <c r="A336" t="inlineStr">
        <is>
          <t>L_VMV1_ROI</t>
        </is>
      </c>
      <c r="B336" t="n">
        <v>-0.438</v>
      </c>
      <c r="C336" t="n">
        <v>1150</v>
      </c>
      <c r="D336" t="inlineStr">
        <is>
          <t>&lt; .001</t>
        </is>
      </c>
      <c r="E336" t="inlineStr">
        <is>
          <t>[-0.484, -0.390]</t>
        </is>
      </c>
      <c r="F336" t="inlineStr">
        <is>
          <t>&lt; .001</t>
        </is>
      </c>
      <c r="G336" t="inlineStr">
        <is>
          <t>✓</t>
        </is>
      </c>
    </row>
    <row r="337">
      <c r="A337" t="inlineStr">
        <is>
          <t>L_VMV3_ROI</t>
        </is>
      </c>
      <c r="B337" t="n">
        <v>-0.43</v>
      </c>
      <c r="C337" t="n">
        <v>1150</v>
      </c>
      <c r="D337" t="inlineStr">
        <is>
          <t>&lt; .001</t>
        </is>
      </c>
      <c r="E337" t="inlineStr">
        <is>
          <t>[-0.476, -0.382]</t>
        </is>
      </c>
      <c r="F337" t="inlineStr">
        <is>
          <t>&lt; .001</t>
        </is>
      </c>
      <c r="G337" t="inlineStr">
        <is>
          <t>✓</t>
        </is>
      </c>
    </row>
    <row r="338">
      <c r="A338" t="inlineStr">
        <is>
          <t>L_PHA2_ROI</t>
        </is>
      </c>
      <c r="B338" t="n">
        <v>-0.437</v>
      </c>
      <c r="C338" t="n">
        <v>1150</v>
      </c>
      <c r="D338" t="inlineStr">
        <is>
          <t>&lt; .001</t>
        </is>
      </c>
      <c r="E338" t="inlineStr">
        <is>
          <t>[-0.482, -0.389]</t>
        </is>
      </c>
      <c r="F338" t="inlineStr">
        <is>
          <t>&lt; .001</t>
        </is>
      </c>
      <c r="G338" t="inlineStr">
        <is>
          <t>✓</t>
        </is>
      </c>
    </row>
    <row r="339">
      <c r="A339" t="inlineStr">
        <is>
          <t>L_V4t_ROI</t>
        </is>
      </c>
      <c r="B339" t="n">
        <v>-0.415</v>
      </c>
      <c r="C339" t="n">
        <v>1150</v>
      </c>
      <c r="D339" t="inlineStr">
        <is>
          <t>&lt; .001</t>
        </is>
      </c>
      <c r="E339" t="inlineStr">
        <is>
          <t>[-0.462, -0.366]</t>
        </is>
      </c>
      <c r="F339" t="inlineStr">
        <is>
          <t>&lt; .001</t>
        </is>
      </c>
      <c r="G339" t="inlineStr">
        <is>
          <t>✓</t>
        </is>
      </c>
    </row>
    <row r="340">
      <c r="A340" t="inlineStr">
        <is>
          <t>L_FST_ROI</t>
        </is>
      </c>
      <c r="B340" t="n">
        <v>-0.516</v>
      </c>
      <c r="C340" t="n">
        <v>1150</v>
      </c>
      <c r="D340" t="inlineStr">
        <is>
          <t>&lt; .001</t>
        </is>
      </c>
      <c r="E340" t="inlineStr">
        <is>
          <t>[-0.557, -0.473]</t>
        </is>
      </c>
      <c r="F340" t="inlineStr">
        <is>
          <t>&lt; .001</t>
        </is>
      </c>
      <c r="G340" t="inlineStr">
        <is>
          <t>✓</t>
        </is>
      </c>
    </row>
    <row r="341">
      <c r="A341" t="inlineStr">
        <is>
          <t>L_V3CD_ROI</t>
        </is>
      </c>
      <c r="B341" t="n">
        <v>-0.528</v>
      </c>
      <c r="C341" t="n">
        <v>1150</v>
      </c>
      <c r="D341" t="inlineStr">
        <is>
          <t>&lt; .001</t>
        </is>
      </c>
      <c r="E341" t="inlineStr">
        <is>
          <t>[-0.569, -0.485]</t>
        </is>
      </c>
      <c r="F341" t="inlineStr">
        <is>
          <t>&lt; .001</t>
        </is>
      </c>
      <c r="G341" t="inlineStr">
        <is>
          <t>✓</t>
        </is>
      </c>
    </row>
    <row r="342">
      <c r="A342" t="inlineStr">
        <is>
          <t>L_LO3_ROI</t>
        </is>
      </c>
      <c r="B342" t="n">
        <v>-0.479</v>
      </c>
      <c r="C342" t="n">
        <v>1150</v>
      </c>
      <c r="D342" t="inlineStr">
        <is>
          <t>&lt; .001</t>
        </is>
      </c>
      <c r="E342" t="inlineStr">
        <is>
          <t>[-0.523, -0.433]</t>
        </is>
      </c>
      <c r="F342" t="inlineStr">
        <is>
          <t>&lt; .001</t>
        </is>
      </c>
      <c r="G342" t="inlineStr">
        <is>
          <t>✓</t>
        </is>
      </c>
    </row>
    <row r="343">
      <c r="A343" t="inlineStr">
        <is>
          <t>L_VMV2_ROI</t>
        </is>
      </c>
      <c r="B343" t="n">
        <v>-0.583</v>
      </c>
      <c r="C343" t="n">
        <v>1150</v>
      </c>
      <c r="D343" t="inlineStr">
        <is>
          <t>&lt; .001</t>
        </is>
      </c>
      <c r="E343" t="inlineStr">
        <is>
          <t>[-0.620, -0.544]</t>
        </is>
      </c>
      <c r="F343" t="inlineStr">
        <is>
          <t>&lt; .001</t>
        </is>
      </c>
      <c r="G343" t="inlineStr">
        <is>
          <t>✓</t>
        </is>
      </c>
    </row>
    <row r="344">
      <c r="A344" t="inlineStr">
        <is>
          <t>L_31pd_ROI</t>
        </is>
      </c>
      <c r="B344" t="n">
        <v>-0.541</v>
      </c>
      <c r="C344" t="n">
        <v>1150</v>
      </c>
      <c r="D344" t="inlineStr">
        <is>
          <t>&lt; .001</t>
        </is>
      </c>
      <c r="E344" t="inlineStr">
        <is>
          <t>[-0.580, -0.498]</t>
        </is>
      </c>
      <c r="F344" t="inlineStr">
        <is>
          <t>&lt; .001</t>
        </is>
      </c>
      <c r="G344" t="inlineStr">
        <is>
          <t>✓</t>
        </is>
      </c>
    </row>
    <row r="345">
      <c r="A345" t="inlineStr">
        <is>
          <t>L_31a_ROI</t>
        </is>
      </c>
      <c r="B345" t="n">
        <v>-0.412</v>
      </c>
      <c r="C345" t="n">
        <v>1150</v>
      </c>
      <c r="D345" t="inlineStr">
        <is>
          <t>&lt; .001</t>
        </is>
      </c>
      <c r="E345" t="inlineStr">
        <is>
          <t>[-0.459, -0.363]</t>
        </is>
      </c>
      <c r="F345" t="inlineStr">
        <is>
          <t>&lt; .001</t>
        </is>
      </c>
      <c r="G345" t="inlineStr">
        <is>
          <t>✓</t>
        </is>
      </c>
    </row>
    <row r="346">
      <c r="A346" t="inlineStr">
        <is>
          <t>L_VVC_ROI</t>
        </is>
      </c>
      <c r="B346" t="n">
        <v>-0.417</v>
      </c>
      <c r="C346" t="n">
        <v>1150</v>
      </c>
      <c r="D346" t="inlineStr">
        <is>
          <t>&lt; .001</t>
        </is>
      </c>
      <c r="E346" t="inlineStr">
        <is>
          <t>[-0.464, -0.368]</t>
        </is>
      </c>
      <c r="F346" t="inlineStr">
        <is>
          <t>&lt; .001</t>
        </is>
      </c>
      <c r="G346" t="inlineStr">
        <is>
          <t>✓</t>
        </is>
      </c>
    </row>
    <row r="347">
      <c r="A347" t="inlineStr">
        <is>
          <t>L_25_ROI</t>
        </is>
      </c>
      <c r="B347" t="n">
        <v>-0.213</v>
      </c>
      <c r="C347" t="n">
        <v>1150</v>
      </c>
      <c r="D347" t="inlineStr">
        <is>
          <t>&lt; .001</t>
        </is>
      </c>
      <c r="E347" t="inlineStr">
        <is>
          <t>[-0.268, -0.158]</t>
        </is>
      </c>
      <c r="F347" t="inlineStr">
        <is>
          <t>&lt; .001</t>
        </is>
      </c>
      <c r="G347" t="inlineStr">
        <is>
          <t>✓</t>
        </is>
      </c>
    </row>
    <row r="348">
      <c r="A348" t="inlineStr">
        <is>
          <t>L_s32_ROI</t>
        </is>
      </c>
      <c r="B348" t="n">
        <v>0.098</v>
      </c>
      <c r="C348" t="n">
        <v>1150</v>
      </c>
      <c r="D348" t="inlineStr">
        <is>
          <t>&lt; .001</t>
        </is>
      </c>
      <c r="E348" t="inlineStr">
        <is>
          <t>[0.041, 0.155]</t>
        </is>
      </c>
      <c r="F348" t="inlineStr">
        <is>
          <t>&lt; .001</t>
        </is>
      </c>
      <c r="G348" t="inlineStr">
        <is>
          <t>✓</t>
        </is>
      </c>
    </row>
    <row r="349">
      <c r="A349" t="inlineStr">
        <is>
          <t>L_pOFC_ROI</t>
        </is>
      </c>
      <c r="B349" t="n">
        <v>-0.236</v>
      </c>
      <c r="C349" t="n">
        <v>1150</v>
      </c>
      <c r="D349" t="inlineStr">
        <is>
          <t>&lt; .001</t>
        </is>
      </c>
      <c r="E349" t="inlineStr">
        <is>
          <t>[-0.289, -0.180]</t>
        </is>
      </c>
      <c r="F349" t="inlineStr">
        <is>
          <t>&lt; .001</t>
        </is>
      </c>
      <c r="G349" t="inlineStr">
        <is>
          <t>✓</t>
        </is>
      </c>
    </row>
    <row r="350">
      <c r="A350" t="inlineStr">
        <is>
          <t>L_PoI1_ROI</t>
        </is>
      </c>
      <c r="B350" t="n">
        <v>-0.323</v>
      </c>
      <c r="C350" t="n">
        <v>1150</v>
      </c>
      <c r="D350" t="inlineStr">
        <is>
          <t>&lt; .001</t>
        </is>
      </c>
      <c r="E350" t="inlineStr">
        <is>
          <t>[-0.374, -0.271]</t>
        </is>
      </c>
      <c r="F350" t="inlineStr">
        <is>
          <t>&lt; .001</t>
        </is>
      </c>
      <c r="G350" t="inlineStr">
        <is>
          <t>✓</t>
        </is>
      </c>
    </row>
    <row r="351">
      <c r="A351" t="inlineStr">
        <is>
          <t>L_Ig_ROI</t>
        </is>
      </c>
      <c r="B351" t="n">
        <v>-0.415</v>
      </c>
      <c r="C351" t="n">
        <v>1150</v>
      </c>
      <c r="D351" t="inlineStr">
        <is>
          <t>&lt; .001</t>
        </is>
      </c>
      <c r="E351" t="inlineStr">
        <is>
          <t>[-0.462, -0.366]</t>
        </is>
      </c>
      <c r="F351" t="inlineStr">
        <is>
          <t>&lt; .001</t>
        </is>
      </c>
      <c r="G351" t="inlineStr">
        <is>
          <t>✓</t>
        </is>
      </c>
    </row>
    <row r="352">
      <c r="A352" t="inlineStr">
        <is>
          <t>L_FOP5_ROI</t>
        </is>
      </c>
      <c r="B352" t="n">
        <v>-0.607</v>
      </c>
      <c r="C352" t="n">
        <v>1150</v>
      </c>
      <c r="D352" t="inlineStr">
        <is>
          <t>&lt; .001</t>
        </is>
      </c>
      <c r="E352" t="inlineStr">
        <is>
          <t>[-0.643, -0.570]</t>
        </is>
      </c>
      <c r="F352" t="inlineStr">
        <is>
          <t>&lt; .001</t>
        </is>
      </c>
      <c r="G352" t="inlineStr">
        <is>
          <t>✓</t>
        </is>
      </c>
    </row>
    <row r="353">
      <c r="A353" t="inlineStr">
        <is>
          <t>L_p10p_ROI</t>
        </is>
      </c>
      <c r="B353" t="n">
        <v>-0.445</v>
      </c>
      <c r="C353" t="n">
        <v>1150</v>
      </c>
      <c r="D353" t="inlineStr">
        <is>
          <t>&lt; .001</t>
        </is>
      </c>
      <c r="E353" t="inlineStr">
        <is>
          <t>[-0.491, -0.398]</t>
        </is>
      </c>
      <c r="F353" t="inlineStr">
        <is>
          <t>&lt; .001</t>
        </is>
      </c>
      <c r="G353" t="inlineStr">
        <is>
          <t>✓</t>
        </is>
      </c>
    </row>
    <row r="354">
      <c r="A354" t="inlineStr">
        <is>
          <t>L_p47r_ROI</t>
        </is>
      </c>
      <c r="B354" t="n">
        <v>-0.504</v>
      </c>
      <c r="C354" t="n">
        <v>1150</v>
      </c>
      <c r="D354" t="inlineStr">
        <is>
          <t>&lt; .001</t>
        </is>
      </c>
      <c r="E354" t="inlineStr">
        <is>
          <t>[-0.546, -0.460]</t>
        </is>
      </c>
      <c r="F354" t="inlineStr">
        <is>
          <t>&lt; .001</t>
        </is>
      </c>
      <c r="G354" t="inlineStr">
        <is>
          <t>✓</t>
        </is>
      </c>
    </row>
    <row r="355">
      <c r="A355" t="inlineStr">
        <is>
          <t>L_TGv_ROI</t>
        </is>
      </c>
      <c r="B355" t="n">
        <v>-0.349</v>
      </c>
      <c r="C355" t="n">
        <v>1150</v>
      </c>
      <c r="D355" t="inlineStr">
        <is>
          <t>&lt; .001</t>
        </is>
      </c>
      <c r="E355" t="inlineStr">
        <is>
          <t>[-0.399, -0.298]</t>
        </is>
      </c>
      <c r="F355" t="inlineStr">
        <is>
          <t>&lt; .001</t>
        </is>
      </c>
      <c r="G355" t="inlineStr">
        <is>
          <t>✓</t>
        </is>
      </c>
    </row>
    <row r="356">
      <c r="A356" t="inlineStr">
        <is>
          <t>L_MBelt_ROI</t>
        </is>
      </c>
      <c r="B356" t="n">
        <v>-0.604</v>
      </c>
      <c r="C356" t="n">
        <v>1150</v>
      </c>
      <c r="D356" t="inlineStr">
        <is>
          <t>&lt; .001</t>
        </is>
      </c>
      <c r="E356" t="inlineStr">
        <is>
          <t>[-0.639, -0.566]</t>
        </is>
      </c>
      <c r="F356" t="inlineStr">
        <is>
          <t>&lt; .001</t>
        </is>
      </c>
      <c r="G356" t="inlineStr">
        <is>
          <t>✓</t>
        </is>
      </c>
    </row>
    <row r="357">
      <c r="A357" t="inlineStr">
        <is>
          <t>L_LBelt_ROI</t>
        </is>
      </c>
      <c r="B357" t="n">
        <v>-0.649</v>
      </c>
      <c r="C357" t="n">
        <v>1150</v>
      </c>
      <c r="D357" t="inlineStr">
        <is>
          <t>&lt; .001</t>
        </is>
      </c>
      <c r="E357" t="inlineStr">
        <is>
          <t>[-0.682, -0.615]</t>
        </is>
      </c>
      <c r="F357" t="inlineStr">
        <is>
          <t>&lt; .001</t>
        </is>
      </c>
      <c r="G357" t="inlineStr">
        <is>
          <t>✓</t>
        </is>
      </c>
    </row>
    <row r="358">
      <c r="A358" t="inlineStr">
        <is>
          <t>L_A4_ROI</t>
        </is>
      </c>
      <c r="B358" t="n">
        <v>-0.607</v>
      </c>
      <c r="C358" t="n">
        <v>1150</v>
      </c>
      <c r="D358" t="inlineStr">
        <is>
          <t>&lt; .001</t>
        </is>
      </c>
      <c r="E358" t="inlineStr">
        <is>
          <t>[-0.642, -0.569]</t>
        </is>
      </c>
      <c r="F358" t="inlineStr">
        <is>
          <t>&lt; .001</t>
        </is>
      </c>
      <c r="G358" t="inlineStr">
        <is>
          <t>✓</t>
        </is>
      </c>
    </row>
    <row r="359">
      <c r="A359" t="inlineStr">
        <is>
          <t>L_STSva_ROI</t>
        </is>
      </c>
      <c r="B359" t="n">
        <v>-0.487</v>
      </c>
      <c r="C359" t="n">
        <v>1150</v>
      </c>
      <c r="D359" t="inlineStr">
        <is>
          <t>&lt; .001</t>
        </is>
      </c>
      <c r="E359" t="inlineStr">
        <is>
          <t>[-0.530, -0.441]</t>
        </is>
      </c>
      <c r="F359" t="inlineStr">
        <is>
          <t>&lt; .001</t>
        </is>
      </c>
      <c r="G359" t="inlineStr">
        <is>
          <t>✓</t>
        </is>
      </c>
    </row>
    <row r="360">
      <c r="A360" t="inlineStr">
        <is>
          <t>L_TE1m_ROI</t>
        </is>
      </c>
      <c r="B360" t="n">
        <v>-0.498</v>
      </c>
      <c r="C360" t="n">
        <v>1150</v>
      </c>
      <c r="D360" t="inlineStr">
        <is>
          <t>&lt; .001</t>
        </is>
      </c>
      <c r="E360" t="inlineStr">
        <is>
          <t>[-0.540, -0.453]</t>
        </is>
      </c>
      <c r="F360" t="inlineStr">
        <is>
          <t>&lt; .001</t>
        </is>
      </c>
      <c r="G360" t="inlineStr">
        <is>
          <t>✓</t>
        </is>
      </c>
    </row>
    <row r="361">
      <c r="A361" t="inlineStr">
        <is>
          <t>L_PI_ROI</t>
        </is>
      </c>
      <c r="B361" t="n">
        <v>-0.5649999999999999</v>
      </c>
      <c r="C361" t="n">
        <v>1150</v>
      </c>
      <c r="D361" t="inlineStr">
        <is>
          <t>&lt; .001</t>
        </is>
      </c>
      <c r="E361" t="inlineStr">
        <is>
          <t>[-0.603, -0.524]</t>
        </is>
      </c>
      <c r="F361" t="inlineStr">
        <is>
          <t>&lt; .001</t>
        </is>
      </c>
      <c r="G361" t="inlineStr">
        <is>
          <t>✓</t>
        </is>
      </c>
    </row>
    <row r="362">
      <c r="A362" t="inlineStr">
        <is>
          <t>L_a32pr_ROI</t>
        </is>
      </c>
      <c r="B362" t="n">
        <v>-0.626</v>
      </c>
      <c r="C362" t="n">
        <v>1150</v>
      </c>
      <c r="D362" t="inlineStr">
        <is>
          <t>&lt; .001</t>
        </is>
      </c>
      <c r="E362" t="inlineStr">
        <is>
          <t>[-0.660, -0.590]</t>
        </is>
      </c>
      <c r="F362" t="inlineStr">
        <is>
          <t>&lt; .001</t>
        </is>
      </c>
      <c r="G362" t="inlineStr">
        <is>
          <t>✓</t>
        </is>
      </c>
    </row>
    <row r="363">
      <c r="A363" t="inlineStr">
        <is>
          <t>L_p24_ROI</t>
        </is>
      </c>
      <c r="B363" t="n">
        <v>-0.323</v>
      </c>
      <c r="C363" t="n">
        <v>1150</v>
      </c>
      <c r="D363" t="inlineStr">
        <is>
          <t>&lt; .001</t>
        </is>
      </c>
      <c r="E363" t="inlineStr">
        <is>
          <t>[-0.374, -0.270]</t>
        </is>
      </c>
      <c r="F363" t="inlineStr">
        <is>
          <t>&lt; .001</t>
        </is>
      </c>
      <c r="G363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Pearson r (age_open × cortical thickness). FDR correction: Benjamini–Hochberg (q&lt;.05). 95% CI via Fisher z-transform.</t>
        </is>
      </c>
    </row>
    <row r="3">
      <c r="A3" s="1" t="inlineStr">
        <is>
          <t>ROI</t>
        </is>
      </c>
      <c r="B3" s="1" t="inlineStr">
        <is>
          <t>r</t>
        </is>
      </c>
      <c r="C3" s="1" t="inlineStr">
        <is>
          <t>n</t>
        </is>
      </c>
      <c r="D3" s="1" t="inlineStr">
        <is>
          <t>p</t>
        </is>
      </c>
      <c r="E3" s="1" t="inlineStr">
        <is>
          <t>95% CI [r]</t>
        </is>
      </c>
      <c r="F3" s="1" t="inlineStr">
        <is>
          <t>p_FDR</t>
        </is>
      </c>
      <c r="G3" s="1" t="inlineStr">
        <is>
          <t>FDR sig.</t>
        </is>
      </c>
    </row>
    <row r="4">
      <c r="A4" t="inlineStr">
        <is>
          <t>R_V1_ROI</t>
        </is>
      </c>
      <c r="B4" t="n">
        <v>-0.532</v>
      </c>
      <c r="C4" t="n">
        <v>1150</v>
      </c>
      <c r="D4" t="inlineStr">
        <is>
          <t>&lt; .001</t>
        </is>
      </c>
      <c r="E4" t="inlineStr">
        <is>
          <t>[-0.572, -0.489]</t>
        </is>
      </c>
      <c r="F4" t="inlineStr">
        <is>
          <t>&lt; .001</t>
        </is>
      </c>
      <c r="G4" t="inlineStr">
        <is>
          <t>✓</t>
        </is>
      </c>
    </row>
    <row r="5">
      <c r="A5" t="inlineStr">
        <is>
          <t>R_MST_ROI</t>
        </is>
      </c>
      <c r="B5" t="n">
        <v>-0.546</v>
      </c>
      <c r="C5" t="n">
        <v>1150</v>
      </c>
      <c r="D5" t="inlineStr">
        <is>
          <t>&lt; .001</t>
        </is>
      </c>
      <c r="E5" t="inlineStr">
        <is>
          <t>[-0.586, -0.504]</t>
        </is>
      </c>
      <c r="F5" t="inlineStr">
        <is>
          <t>&lt; .001</t>
        </is>
      </c>
      <c r="G5" t="inlineStr">
        <is>
          <t>✓</t>
        </is>
      </c>
    </row>
    <row r="6">
      <c r="A6" t="inlineStr">
        <is>
          <t>R_V6_ROI</t>
        </is>
      </c>
      <c r="B6" t="n">
        <v>-0.52</v>
      </c>
      <c r="C6" t="n">
        <v>1150</v>
      </c>
      <c r="D6" t="inlineStr">
        <is>
          <t>&lt; .001</t>
        </is>
      </c>
      <c r="E6" t="inlineStr">
        <is>
          <t>[-0.561, -0.477]</t>
        </is>
      </c>
      <c r="F6" t="inlineStr">
        <is>
          <t>&lt; .001</t>
        </is>
      </c>
      <c r="G6" t="inlineStr">
        <is>
          <t>✓</t>
        </is>
      </c>
    </row>
    <row r="7">
      <c r="A7" t="inlineStr">
        <is>
          <t>R_V2_ROI</t>
        </is>
      </c>
      <c r="B7" t="n">
        <v>-0.437</v>
      </c>
      <c r="C7" t="n">
        <v>1150</v>
      </c>
      <c r="D7" t="inlineStr">
        <is>
          <t>&lt; .001</t>
        </is>
      </c>
      <c r="E7" t="inlineStr">
        <is>
          <t>[-0.482, -0.389]</t>
        </is>
      </c>
      <c r="F7" t="inlineStr">
        <is>
          <t>&lt; .001</t>
        </is>
      </c>
      <c r="G7" t="inlineStr">
        <is>
          <t>✓</t>
        </is>
      </c>
    </row>
    <row r="8">
      <c r="A8" t="inlineStr">
        <is>
          <t>R_V3_ROI</t>
        </is>
      </c>
      <c r="B8" t="n">
        <v>-0.519</v>
      </c>
      <c r="C8" t="n">
        <v>1150</v>
      </c>
      <c r="D8" t="inlineStr">
        <is>
          <t>&lt; .001</t>
        </is>
      </c>
      <c r="E8" t="inlineStr">
        <is>
          <t>[-0.560, -0.475]</t>
        </is>
      </c>
      <c r="F8" t="inlineStr">
        <is>
          <t>&lt; .001</t>
        </is>
      </c>
      <c r="G8" t="inlineStr">
        <is>
          <t>✓</t>
        </is>
      </c>
    </row>
    <row r="9">
      <c r="A9" t="inlineStr">
        <is>
          <t>R_V4_ROI</t>
        </is>
      </c>
      <c r="B9" t="n">
        <v>-0.5669999999999999</v>
      </c>
      <c r="C9" t="n">
        <v>1150</v>
      </c>
      <c r="D9" t="inlineStr">
        <is>
          <t>&lt; .001</t>
        </is>
      </c>
      <c r="E9" t="inlineStr">
        <is>
          <t>[-0.605, -0.526]</t>
        </is>
      </c>
      <c r="F9" t="inlineStr">
        <is>
          <t>&lt; .001</t>
        </is>
      </c>
      <c r="G9" t="inlineStr">
        <is>
          <t>✓</t>
        </is>
      </c>
    </row>
    <row r="10">
      <c r="A10" t="inlineStr">
        <is>
          <t>R_V8_ROI</t>
        </is>
      </c>
      <c r="B10" t="n">
        <v>-0.332</v>
      </c>
      <c r="C10" t="n">
        <v>1150</v>
      </c>
      <c r="D10" t="inlineStr">
        <is>
          <t>&lt; .001</t>
        </is>
      </c>
      <c r="E10" t="inlineStr">
        <is>
          <t>[-0.382, -0.279]</t>
        </is>
      </c>
      <c r="F10" t="inlineStr">
        <is>
          <t>&lt; .001</t>
        </is>
      </c>
      <c r="G10" t="inlineStr">
        <is>
          <t>✓</t>
        </is>
      </c>
    </row>
    <row r="11">
      <c r="A11" t="inlineStr">
        <is>
          <t>R_4_ROI</t>
        </is>
      </c>
      <c r="B11" t="n">
        <v>-0.6929999999999999</v>
      </c>
      <c r="C11" t="n">
        <v>1150</v>
      </c>
      <c r="D11" t="inlineStr">
        <is>
          <t>&lt; .001</t>
        </is>
      </c>
      <c r="E11" t="inlineStr">
        <is>
          <t>[-0.722, -0.661]</t>
        </is>
      </c>
      <c r="F11" t="inlineStr">
        <is>
          <t>&lt; .001</t>
        </is>
      </c>
      <c r="G11" t="inlineStr">
        <is>
          <t>✓</t>
        </is>
      </c>
    </row>
    <row r="12">
      <c r="A12" t="inlineStr">
        <is>
          <t>R_3b_ROI</t>
        </is>
      </c>
      <c r="B12" t="n">
        <v>-0.52</v>
      </c>
      <c r="C12" t="n">
        <v>1150</v>
      </c>
      <c r="D12" t="inlineStr">
        <is>
          <t>&lt; .001</t>
        </is>
      </c>
      <c r="E12" t="inlineStr">
        <is>
          <t>[-0.561, -0.476]</t>
        </is>
      </c>
      <c r="F12" t="inlineStr">
        <is>
          <t>&lt; .001</t>
        </is>
      </c>
      <c r="G12" t="inlineStr">
        <is>
          <t>✓</t>
        </is>
      </c>
    </row>
    <row r="13">
      <c r="A13" t="inlineStr">
        <is>
          <t>R_FEF_ROI</t>
        </is>
      </c>
      <c r="B13" t="n">
        <v>-0.661</v>
      </c>
      <c r="C13" t="n">
        <v>1150</v>
      </c>
      <c r="D13" t="inlineStr">
        <is>
          <t>&lt; .001</t>
        </is>
      </c>
      <c r="E13" t="inlineStr">
        <is>
          <t>[-0.693, -0.628]</t>
        </is>
      </c>
      <c r="F13" t="inlineStr">
        <is>
          <t>&lt; .001</t>
        </is>
      </c>
      <c r="G13" t="inlineStr">
        <is>
          <t>✓</t>
        </is>
      </c>
    </row>
    <row r="14">
      <c r="A14" t="inlineStr">
        <is>
          <t>R_PEF_ROI</t>
        </is>
      </c>
      <c r="B14" t="n">
        <v>-0.538</v>
      </c>
      <c r="C14" t="n">
        <v>1150</v>
      </c>
      <c r="D14" t="inlineStr">
        <is>
          <t>&lt; .001</t>
        </is>
      </c>
      <c r="E14" t="inlineStr">
        <is>
          <t>[-0.578, -0.496]</t>
        </is>
      </c>
      <c r="F14" t="inlineStr">
        <is>
          <t>&lt; .001</t>
        </is>
      </c>
      <c r="G14" t="inlineStr">
        <is>
          <t>✓</t>
        </is>
      </c>
    </row>
    <row r="15">
      <c r="A15" t="inlineStr">
        <is>
          <t>R_55b_ROI</t>
        </is>
      </c>
      <c r="B15" t="n">
        <v>-0.592</v>
      </c>
      <c r="C15" t="n">
        <v>1150</v>
      </c>
      <c r="D15" t="inlineStr">
        <is>
          <t>&lt; .001</t>
        </is>
      </c>
      <c r="E15" t="inlineStr">
        <is>
          <t>[-0.629, -0.554]</t>
        </is>
      </c>
      <c r="F15" t="inlineStr">
        <is>
          <t>&lt; .001</t>
        </is>
      </c>
      <c r="G15" t="inlineStr">
        <is>
          <t>✓</t>
        </is>
      </c>
    </row>
    <row r="16">
      <c r="A16" t="inlineStr">
        <is>
          <t>R_V3A_ROI</t>
        </is>
      </c>
      <c r="B16" t="n">
        <v>-0.54</v>
      </c>
      <c r="C16" t="n">
        <v>1150</v>
      </c>
      <c r="D16" t="inlineStr">
        <is>
          <t>&lt; .001</t>
        </is>
      </c>
      <c r="E16" t="inlineStr">
        <is>
          <t>[-0.579, -0.497]</t>
        </is>
      </c>
      <c r="F16" t="inlineStr">
        <is>
          <t>&lt; .001</t>
        </is>
      </c>
      <c r="G16" t="inlineStr">
        <is>
          <t>✓</t>
        </is>
      </c>
    </row>
    <row r="17">
      <c r="A17" t="inlineStr">
        <is>
          <t>R_RSC_ROI</t>
        </is>
      </c>
      <c r="B17" t="n">
        <v>-0.451</v>
      </c>
      <c r="C17" t="n">
        <v>1150</v>
      </c>
      <c r="D17" t="inlineStr">
        <is>
          <t>&lt; .001</t>
        </is>
      </c>
      <c r="E17" t="inlineStr">
        <is>
          <t>[-0.496, -0.404]</t>
        </is>
      </c>
      <c r="F17" t="inlineStr">
        <is>
          <t>&lt; .001</t>
        </is>
      </c>
      <c r="G17" t="inlineStr">
        <is>
          <t>✓</t>
        </is>
      </c>
    </row>
    <row r="18">
      <c r="A18" t="inlineStr">
        <is>
          <t>R_POS2_ROI</t>
        </is>
      </c>
      <c r="B18" t="n">
        <v>-0.569</v>
      </c>
      <c r="C18" t="n">
        <v>1150</v>
      </c>
      <c r="D18" t="inlineStr">
        <is>
          <t>&lt; .001</t>
        </is>
      </c>
      <c r="E18" t="inlineStr">
        <is>
          <t>[-0.607, -0.529]</t>
        </is>
      </c>
      <c r="F18" t="inlineStr">
        <is>
          <t>&lt; .001</t>
        </is>
      </c>
      <c r="G18" t="inlineStr">
        <is>
          <t>✓</t>
        </is>
      </c>
    </row>
    <row r="19">
      <c r="A19" t="inlineStr">
        <is>
          <t>R_V7_ROI</t>
        </is>
      </c>
      <c r="B19" t="n">
        <v>-0.443</v>
      </c>
      <c r="C19" t="n">
        <v>1150</v>
      </c>
      <c r="D19" t="inlineStr">
        <is>
          <t>&lt; .001</t>
        </is>
      </c>
      <c r="E19" t="inlineStr">
        <is>
          <t>[-0.488, -0.396]</t>
        </is>
      </c>
      <c r="F19" t="inlineStr">
        <is>
          <t>&lt; .001</t>
        </is>
      </c>
      <c r="G19" t="inlineStr">
        <is>
          <t>✓</t>
        </is>
      </c>
    </row>
    <row r="20">
      <c r="A20" t="inlineStr">
        <is>
          <t>R_IPS1_ROI</t>
        </is>
      </c>
      <c r="B20" t="n">
        <v>-0.494</v>
      </c>
      <c r="C20" t="n">
        <v>1150</v>
      </c>
      <c r="D20" t="inlineStr">
        <is>
          <t>&lt; .001</t>
        </is>
      </c>
      <c r="E20" t="inlineStr">
        <is>
          <t>[-0.536, -0.449]</t>
        </is>
      </c>
      <c r="F20" t="inlineStr">
        <is>
          <t>&lt; .001</t>
        </is>
      </c>
      <c r="G20" t="inlineStr">
        <is>
          <t>✓</t>
        </is>
      </c>
    </row>
    <row r="21">
      <c r="A21" t="inlineStr">
        <is>
          <t>R_FFC_ROI</t>
        </is>
      </c>
      <c r="B21" t="n">
        <v>-0.338</v>
      </c>
      <c r="C21" t="n">
        <v>1150</v>
      </c>
      <c r="D21" t="inlineStr">
        <is>
          <t>&lt; .001</t>
        </is>
      </c>
      <c r="E21" t="inlineStr">
        <is>
          <t>[-0.388, -0.286]</t>
        </is>
      </c>
      <c r="F21" t="inlineStr">
        <is>
          <t>&lt; .001</t>
        </is>
      </c>
      <c r="G21" t="inlineStr">
        <is>
          <t>✓</t>
        </is>
      </c>
    </row>
    <row r="22">
      <c r="A22" t="inlineStr">
        <is>
          <t>R_V3B_ROI</t>
        </is>
      </c>
      <c r="B22" t="n">
        <v>-0.5570000000000001</v>
      </c>
      <c r="C22" t="n">
        <v>1150</v>
      </c>
      <c r="D22" t="inlineStr">
        <is>
          <t>&lt; .001</t>
        </is>
      </c>
      <c r="E22" t="inlineStr">
        <is>
          <t>[-0.596, -0.516]</t>
        </is>
      </c>
      <c r="F22" t="inlineStr">
        <is>
          <t>&lt; .001</t>
        </is>
      </c>
      <c r="G22" t="inlineStr">
        <is>
          <t>✓</t>
        </is>
      </c>
    </row>
    <row r="23">
      <c r="A23" t="inlineStr">
        <is>
          <t>R_LO1_ROI</t>
        </is>
      </c>
      <c r="B23" t="n">
        <v>-0.442</v>
      </c>
      <c r="C23" t="n">
        <v>1150</v>
      </c>
      <c r="D23" t="inlineStr">
        <is>
          <t>&lt; .001</t>
        </is>
      </c>
      <c r="E23" t="inlineStr">
        <is>
          <t>[-0.487, -0.394]</t>
        </is>
      </c>
      <c r="F23" t="inlineStr">
        <is>
          <t>&lt; .001</t>
        </is>
      </c>
      <c r="G23" t="inlineStr">
        <is>
          <t>✓</t>
        </is>
      </c>
    </row>
    <row r="24">
      <c r="A24" t="inlineStr">
        <is>
          <t>R_LO2_ROI</t>
        </is>
      </c>
      <c r="B24" t="n">
        <v>-0.315</v>
      </c>
      <c r="C24" t="n">
        <v>1150</v>
      </c>
      <c r="D24" t="inlineStr">
        <is>
          <t>&lt; .001</t>
        </is>
      </c>
      <c r="E24" t="inlineStr">
        <is>
          <t>[-0.366, -0.262]</t>
        </is>
      </c>
      <c r="F24" t="inlineStr">
        <is>
          <t>&lt; .001</t>
        </is>
      </c>
      <c r="G24" t="inlineStr">
        <is>
          <t>✓</t>
        </is>
      </c>
    </row>
    <row r="25">
      <c r="A25" t="inlineStr">
        <is>
          <t>R_PIT_ROI</t>
        </is>
      </c>
      <c r="B25" t="n">
        <v>-0.297</v>
      </c>
      <c r="C25" t="n">
        <v>1150</v>
      </c>
      <c r="D25" t="inlineStr">
        <is>
          <t>&lt; .001</t>
        </is>
      </c>
      <c r="E25" t="inlineStr">
        <is>
          <t>[-0.349, -0.244]</t>
        </is>
      </c>
      <c r="F25" t="inlineStr">
        <is>
          <t>&lt; .001</t>
        </is>
      </c>
      <c r="G25" t="inlineStr">
        <is>
          <t>✓</t>
        </is>
      </c>
    </row>
    <row r="26">
      <c r="A26" t="inlineStr">
        <is>
          <t>R_MT_ROI</t>
        </is>
      </c>
      <c r="B26" t="n">
        <v>-0.456</v>
      </c>
      <c r="C26" t="n">
        <v>1150</v>
      </c>
      <c r="D26" t="inlineStr">
        <is>
          <t>&lt; .001</t>
        </is>
      </c>
      <c r="E26" t="inlineStr">
        <is>
          <t>[-0.501, -0.409]</t>
        </is>
      </c>
      <c r="F26" t="inlineStr">
        <is>
          <t>&lt; .001</t>
        </is>
      </c>
      <c r="G26" t="inlineStr">
        <is>
          <t>✓</t>
        </is>
      </c>
    </row>
    <row r="27">
      <c r="A27" t="inlineStr">
        <is>
          <t>R_A1_ROI</t>
        </is>
      </c>
      <c r="B27" t="n">
        <v>-0.577</v>
      </c>
      <c r="C27" t="n">
        <v>1150</v>
      </c>
      <c r="D27" t="inlineStr">
        <is>
          <t>&lt; .001</t>
        </is>
      </c>
      <c r="E27" t="inlineStr">
        <is>
          <t>[-0.614, -0.537]</t>
        </is>
      </c>
      <c r="F27" t="inlineStr">
        <is>
          <t>&lt; .001</t>
        </is>
      </c>
      <c r="G27" t="inlineStr">
        <is>
          <t>✓</t>
        </is>
      </c>
    </row>
    <row r="28">
      <c r="A28" t="inlineStr">
        <is>
          <t>R_PSL_ROI</t>
        </is>
      </c>
      <c r="B28" t="n">
        <v>-0.587</v>
      </c>
      <c r="C28" t="n">
        <v>1150</v>
      </c>
      <c r="D28" t="inlineStr">
        <is>
          <t>&lt; .001</t>
        </is>
      </c>
      <c r="E28" t="inlineStr">
        <is>
          <t>[-0.624, -0.548]</t>
        </is>
      </c>
      <c r="F28" t="inlineStr">
        <is>
          <t>&lt; .001</t>
        </is>
      </c>
      <c r="G28" t="inlineStr">
        <is>
          <t>✓</t>
        </is>
      </c>
    </row>
    <row r="29">
      <c r="A29" t="inlineStr">
        <is>
          <t>R_SFL_ROI</t>
        </is>
      </c>
      <c r="B29" t="n">
        <v>-0.5600000000000001</v>
      </c>
      <c r="C29" t="n">
        <v>1150</v>
      </c>
      <c r="D29" t="inlineStr">
        <is>
          <t>&lt; .001</t>
        </is>
      </c>
      <c r="E29" t="inlineStr">
        <is>
          <t>[-0.598, -0.519]</t>
        </is>
      </c>
      <c r="F29" t="inlineStr">
        <is>
          <t>&lt; .001</t>
        </is>
      </c>
      <c r="G29" t="inlineStr">
        <is>
          <t>✓</t>
        </is>
      </c>
    </row>
    <row r="30">
      <c r="A30" t="inlineStr">
        <is>
          <t>R_PCV_ROI</t>
        </is>
      </c>
      <c r="B30" t="n">
        <v>-0.444</v>
      </c>
      <c r="C30" t="n">
        <v>1150</v>
      </c>
      <c r="D30" t="inlineStr">
        <is>
          <t>&lt; .001</t>
        </is>
      </c>
      <c r="E30" t="inlineStr">
        <is>
          <t>[-0.489, -0.396]</t>
        </is>
      </c>
      <c r="F30" t="inlineStr">
        <is>
          <t>&lt; .001</t>
        </is>
      </c>
      <c r="G30" t="inlineStr">
        <is>
          <t>✓</t>
        </is>
      </c>
    </row>
    <row r="31">
      <c r="A31" t="inlineStr">
        <is>
          <t>R_STV_ROI</t>
        </is>
      </c>
      <c r="B31" t="n">
        <v>-0.589</v>
      </c>
      <c r="C31" t="n">
        <v>1150</v>
      </c>
      <c r="D31" t="inlineStr">
        <is>
          <t>&lt; .001</t>
        </is>
      </c>
      <c r="E31" t="inlineStr">
        <is>
          <t>[-0.626, -0.550]</t>
        </is>
      </c>
      <c r="F31" t="inlineStr">
        <is>
          <t>&lt; .001</t>
        </is>
      </c>
      <c r="G31" t="inlineStr">
        <is>
          <t>✓</t>
        </is>
      </c>
    </row>
    <row r="32">
      <c r="A32" t="inlineStr">
        <is>
          <t>R_7Pm_ROI</t>
        </is>
      </c>
      <c r="B32" t="n">
        <v>-0.396</v>
      </c>
      <c r="C32" t="n">
        <v>1150</v>
      </c>
      <c r="D32" t="inlineStr">
        <is>
          <t>&lt; .001</t>
        </is>
      </c>
      <c r="E32" t="inlineStr">
        <is>
          <t>[-0.443, -0.346]</t>
        </is>
      </c>
      <c r="F32" t="inlineStr">
        <is>
          <t>&lt; .001</t>
        </is>
      </c>
      <c r="G32" t="inlineStr">
        <is>
          <t>✓</t>
        </is>
      </c>
    </row>
    <row r="33">
      <c r="A33" t="inlineStr">
        <is>
          <t>R_7m_ROI</t>
        </is>
      </c>
      <c r="B33" t="n">
        <v>-0.464</v>
      </c>
      <c r="C33" t="n">
        <v>1150</v>
      </c>
      <c r="D33" t="inlineStr">
        <is>
          <t>&lt; .001</t>
        </is>
      </c>
      <c r="E33" t="inlineStr">
        <is>
          <t>[-0.508, -0.418]</t>
        </is>
      </c>
      <c r="F33" t="inlineStr">
        <is>
          <t>&lt; .001</t>
        </is>
      </c>
      <c r="G33" t="inlineStr">
        <is>
          <t>✓</t>
        </is>
      </c>
    </row>
    <row r="34">
      <c r="A34" t="inlineStr">
        <is>
          <t>R_POS1_ROI</t>
        </is>
      </c>
      <c r="B34" t="n">
        <v>-0.597</v>
      </c>
      <c r="C34" t="n">
        <v>1150</v>
      </c>
      <c r="D34" t="inlineStr">
        <is>
          <t>&lt; .001</t>
        </is>
      </c>
      <c r="E34" t="inlineStr">
        <is>
          <t>[-0.633, -0.558]</t>
        </is>
      </c>
      <c r="F34" t="inlineStr">
        <is>
          <t>&lt; .001</t>
        </is>
      </c>
      <c r="G34" t="inlineStr">
        <is>
          <t>✓</t>
        </is>
      </c>
    </row>
    <row r="35">
      <c r="A35" t="inlineStr">
        <is>
          <t>R_23d_ROI</t>
        </is>
      </c>
      <c r="B35" t="n">
        <v>-0.54</v>
      </c>
      <c r="C35" t="n">
        <v>1150</v>
      </c>
      <c r="D35" t="inlineStr">
        <is>
          <t>&lt; .001</t>
        </is>
      </c>
      <c r="E35" t="inlineStr">
        <is>
          <t>[-0.580, -0.498]</t>
        </is>
      </c>
      <c r="F35" t="inlineStr">
        <is>
          <t>&lt; .001</t>
        </is>
      </c>
      <c r="G35" t="inlineStr">
        <is>
          <t>✓</t>
        </is>
      </c>
    </row>
    <row r="36">
      <c r="A36" t="inlineStr">
        <is>
          <t>R_v23ab_ROI</t>
        </is>
      </c>
      <c r="B36" t="n">
        <v>-0.506</v>
      </c>
      <c r="C36" t="n">
        <v>1150</v>
      </c>
      <c r="D36" t="inlineStr">
        <is>
          <t>&lt; .001</t>
        </is>
      </c>
      <c r="E36" t="inlineStr">
        <is>
          <t>[-0.548, -0.462]</t>
        </is>
      </c>
      <c r="F36" t="inlineStr">
        <is>
          <t>&lt; .001</t>
        </is>
      </c>
      <c r="G36" t="inlineStr">
        <is>
          <t>✓</t>
        </is>
      </c>
    </row>
    <row r="37">
      <c r="A37" t="inlineStr">
        <is>
          <t>R_d23ab_ROI</t>
        </is>
      </c>
      <c r="B37" t="n">
        <v>-0.521</v>
      </c>
      <c r="C37" t="n">
        <v>1150</v>
      </c>
      <c r="D37" t="inlineStr">
        <is>
          <t>&lt; .001</t>
        </is>
      </c>
      <c r="E37" t="inlineStr">
        <is>
          <t>[-0.561, -0.477]</t>
        </is>
      </c>
      <c r="F37" t="inlineStr">
        <is>
          <t>&lt; .001</t>
        </is>
      </c>
      <c r="G37" t="inlineStr">
        <is>
          <t>✓</t>
        </is>
      </c>
    </row>
    <row r="38">
      <c r="A38" t="inlineStr">
        <is>
          <t>R_31pv_ROI</t>
        </is>
      </c>
      <c r="B38" t="n">
        <v>-0.533</v>
      </c>
      <c r="C38" t="n">
        <v>1150</v>
      </c>
      <c r="D38" t="inlineStr">
        <is>
          <t>&lt; .001</t>
        </is>
      </c>
      <c r="E38" t="inlineStr">
        <is>
          <t>[-0.573, -0.490]</t>
        </is>
      </c>
      <c r="F38" t="inlineStr">
        <is>
          <t>&lt; .001</t>
        </is>
      </c>
      <c r="G38" t="inlineStr">
        <is>
          <t>✓</t>
        </is>
      </c>
    </row>
    <row r="39">
      <c r="A39" t="inlineStr">
        <is>
          <t>R_5m_ROI</t>
        </is>
      </c>
      <c r="B39" t="n">
        <v>-0.454</v>
      </c>
      <c r="C39" t="n">
        <v>1150</v>
      </c>
      <c r="D39" t="inlineStr">
        <is>
          <t>&lt; .001</t>
        </is>
      </c>
      <c r="E39" t="inlineStr">
        <is>
          <t>[-0.499, -0.407]</t>
        </is>
      </c>
      <c r="F39" t="inlineStr">
        <is>
          <t>&lt; .001</t>
        </is>
      </c>
      <c r="G39" t="inlineStr">
        <is>
          <t>✓</t>
        </is>
      </c>
    </row>
    <row r="40">
      <c r="A40" t="inlineStr">
        <is>
          <t>R_5mv_ROI</t>
        </is>
      </c>
      <c r="B40" t="n">
        <v>-0.484</v>
      </c>
      <c r="C40" t="n">
        <v>1150</v>
      </c>
      <c r="D40" t="inlineStr">
        <is>
          <t>&lt; .001</t>
        </is>
      </c>
      <c r="E40" t="inlineStr">
        <is>
          <t>[-0.527, -0.438]</t>
        </is>
      </c>
      <c r="F40" t="inlineStr">
        <is>
          <t>&lt; .001</t>
        </is>
      </c>
      <c r="G40" t="inlineStr">
        <is>
          <t>✓</t>
        </is>
      </c>
    </row>
    <row r="41">
      <c r="A41" t="inlineStr">
        <is>
          <t>R_23c_ROI</t>
        </is>
      </c>
      <c r="B41" t="n">
        <v>-0.553</v>
      </c>
      <c r="C41" t="n">
        <v>1150</v>
      </c>
      <c r="D41" t="inlineStr">
        <is>
          <t>&lt; .001</t>
        </is>
      </c>
      <c r="E41" t="inlineStr">
        <is>
          <t>[-0.591, -0.511]</t>
        </is>
      </c>
      <c r="F41" t="inlineStr">
        <is>
          <t>&lt; .001</t>
        </is>
      </c>
      <c r="G41" t="inlineStr">
        <is>
          <t>✓</t>
        </is>
      </c>
    </row>
    <row r="42">
      <c r="A42" t="inlineStr">
        <is>
          <t>R_5L_ROI</t>
        </is>
      </c>
      <c r="B42" t="n">
        <v>-0.415</v>
      </c>
      <c r="C42" t="n">
        <v>1150</v>
      </c>
      <c r="D42" t="inlineStr">
        <is>
          <t>&lt; .001</t>
        </is>
      </c>
      <c r="E42" t="inlineStr">
        <is>
          <t>[-0.462, -0.366]</t>
        </is>
      </c>
      <c r="F42" t="inlineStr">
        <is>
          <t>&lt; .001</t>
        </is>
      </c>
      <c r="G42" t="inlineStr">
        <is>
          <t>✓</t>
        </is>
      </c>
    </row>
    <row r="43">
      <c r="A43" t="inlineStr">
        <is>
          <t>R_24dd_ROI</t>
        </is>
      </c>
      <c r="B43" t="n">
        <v>-0.637</v>
      </c>
      <c r="C43" t="n">
        <v>1150</v>
      </c>
      <c r="D43" t="inlineStr">
        <is>
          <t>&lt; .001</t>
        </is>
      </c>
      <c r="E43" t="inlineStr">
        <is>
          <t>[-0.670, -0.601]</t>
        </is>
      </c>
      <c r="F43" t="inlineStr">
        <is>
          <t>&lt; .001</t>
        </is>
      </c>
      <c r="G43" t="inlineStr">
        <is>
          <t>✓</t>
        </is>
      </c>
    </row>
    <row r="44">
      <c r="A44" t="inlineStr">
        <is>
          <t>R_24dv_ROI</t>
        </is>
      </c>
      <c r="B44" t="n">
        <v>-0.608</v>
      </c>
      <c r="C44" t="n">
        <v>1150</v>
      </c>
      <c r="D44" t="inlineStr">
        <is>
          <t>&lt; .001</t>
        </is>
      </c>
      <c r="E44" t="inlineStr">
        <is>
          <t>[-0.643, -0.570]</t>
        </is>
      </c>
      <c r="F44" t="inlineStr">
        <is>
          <t>&lt; .001</t>
        </is>
      </c>
      <c r="G44" t="inlineStr">
        <is>
          <t>✓</t>
        </is>
      </c>
    </row>
    <row r="45">
      <c r="A45" t="inlineStr">
        <is>
          <t>R_7AL_ROI</t>
        </is>
      </c>
      <c r="B45" t="n">
        <v>-0.444</v>
      </c>
      <c r="C45" t="n">
        <v>1150</v>
      </c>
      <c r="D45" t="inlineStr">
        <is>
          <t>&lt; .001</t>
        </is>
      </c>
      <c r="E45" t="inlineStr">
        <is>
          <t>[-0.489, -0.396]</t>
        </is>
      </c>
      <c r="F45" t="inlineStr">
        <is>
          <t>&lt; .001</t>
        </is>
      </c>
      <c r="G45" t="inlineStr">
        <is>
          <t>✓</t>
        </is>
      </c>
    </row>
    <row r="46">
      <c r="A46" t="inlineStr">
        <is>
          <t>R_SCEF_ROI</t>
        </is>
      </c>
      <c r="B46" t="n">
        <v>-0.619</v>
      </c>
      <c r="C46" t="n">
        <v>1150</v>
      </c>
      <c r="D46" t="inlineStr">
        <is>
          <t>&lt; .001</t>
        </is>
      </c>
      <c r="E46" t="inlineStr">
        <is>
          <t>[-0.653, -0.582]</t>
        </is>
      </c>
      <c r="F46" t="inlineStr">
        <is>
          <t>&lt; .001</t>
        </is>
      </c>
      <c r="G46" t="inlineStr">
        <is>
          <t>✓</t>
        </is>
      </c>
    </row>
    <row r="47">
      <c r="A47" t="inlineStr">
        <is>
          <t>R_6ma_ROI</t>
        </is>
      </c>
      <c r="B47" t="n">
        <v>-0.598</v>
      </c>
      <c r="C47" t="n">
        <v>1150</v>
      </c>
      <c r="D47" t="inlineStr">
        <is>
          <t>&lt; .001</t>
        </is>
      </c>
      <c r="E47" t="inlineStr">
        <is>
          <t>[-0.634, -0.560]</t>
        </is>
      </c>
      <c r="F47" t="inlineStr">
        <is>
          <t>&lt; .001</t>
        </is>
      </c>
      <c r="G47" t="inlineStr">
        <is>
          <t>✓</t>
        </is>
      </c>
    </row>
    <row r="48">
      <c r="A48" t="inlineStr">
        <is>
          <t>R_7Am_ROI</t>
        </is>
      </c>
      <c r="B48" t="n">
        <v>-0.409</v>
      </c>
      <c r="C48" t="n">
        <v>1150</v>
      </c>
      <c r="D48" t="inlineStr">
        <is>
          <t>&lt; .001</t>
        </is>
      </c>
      <c r="E48" t="inlineStr">
        <is>
          <t>[-0.456, -0.360]</t>
        </is>
      </c>
      <c r="F48" t="inlineStr">
        <is>
          <t>&lt; .001</t>
        </is>
      </c>
      <c r="G48" t="inlineStr">
        <is>
          <t>✓</t>
        </is>
      </c>
    </row>
    <row r="49">
      <c r="A49" t="inlineStr">
        <is>
          <t>R_7PL_ROI</t>
        </is>
      </c>
      <c r="B49" t="n">
        <v>-0.468</v>
      </c>
      <c r="C49" t="n">
        <v>1150</v>
      </c>
      <c r="D49" t="inlineStr">
        <is>
          <t>&lt; .001</t>
        </is>
      </c>
      <c r="E49" t="inlineStr">
        <is>
          <t>[-0.512, -0.422]</t>
        </is>
      </c>
      <c r="F49" t="inlineStr">
        <is>
          <t>&lt; .001</t>
        </is>
      </c>
      <c r="G49" t="inlineStr">
        <is>
          <t>✓</t>
        </is>
      </c>
    </row>
    <row r="50">
      <c r="A50" t="inlineStr">
        <is>
          <t>R_7PC_ROI</t>
        </is>
      </c>
      <c r="B50" t="n">
        <v>-0.522</v>
      </c>
      <c r="C50" t="n">
        <v>1150</v>
      </c>
      <c r="D50" t="inlineStr">
        <is>
          <t>&lt; .001</t>
        </is>
      </c>
      <c r="E50" t="inlineStr">
        <is>
          <t>[-0.563, -0.478]</t>
        </is>
      </c>
      <c r="F50" t="inlineStr">
        <is>
          <t>&lt; .001</t>
        </is>
      </c>
      <c r="G50" t="inlineStr">
        <is>
          <t>✓</t>
        </is>
      </c>
    </row>
    <row r="51">
      <c r="A51" t="inlineStr">
        <is>
          <t>R_LIPv_ROI</t>
        </is>
      </c>
      <c r="B51" t="n">
        <v>-0.522</v>
      </c>
      <c r="C51" t="n">
        <v>1150</v>
      </c>
      <c r="D51" t="inlineStr">
        <is>
          <t>&lt; .001</t>
        </is>
      </c>
      <c r="E51" t="inlineStr">
        <is>
          <t>[-0.563, -0.479]</t>
        </is>
      </c>
      <c r="F51" t="inlineStr">
        <is>
          <t>&lt; .001</t>
        </is>
      </c>
      <c r="G51" t="inlineStr">
        <is>
          <t>✓</t>
        </is>
      </c>
    </row>
    <row r="52">
      <c r="A52" t="inlineStr">
        <is>
          <t>R_VIP_ROI</t>
        </is>
      </c>
      <c r="B52" t="n">
        <v>-0.456</v>
      </c>
      <c r="C52" t="n">
        <v>1150</v>
      </c>
      <c r="D52" t="inlineStr">
        <is>
          <t>&lt; .001</t>
        </is>
      </c>
      <c r="E52" t="inlineStr">
        <is>
          <t>[-0.500, -0.408]</t>
        </is>
      </c>
      <c r="F52" t="inlineStr">
        <is>
          <t>&lt; .001</t>
        </is>
      </c>
      <c r="G52" t="inlineStr">
        <is>
          <t>✓</t>
        </is>
      </c>
    </row>
    <row r="53">
      <c r="A53" t="inlineStr">
        <is>
          <t>R_MIP_ROI</t>
        </is>
      </c>
      <c r="B53" t="n">
        <v>-0.536</v>
      </c>
      <c r="C53" t="n">
        <v>1150</v>
      </c>
      <c r="D53" t="inlineStr">
        <is>
          <t>&lt; .001</t>
        </is>
      </c>
      <c r="E53" t="inlineStr">
        <is>
          <t>[-0.576, -0.494]</t>
        </is>
      </c>
      <c r="F53" t="inlineStr">
        <is>
          <t>&lt; .001</t>
        </is>
      </c>
      <c r="G53" t="inlineStr">
        <is>
          <t>✓</t>
        </is>
      </c>
    </row>
    <row r="54">
      <c r="A54" t="inlineStr">
        <is>
          <t>R_1_ROI</t>
        </is>
      </c>
      <c r="B54" t="n">
        <v>-0.636</v>
      </c>
      <c r="C54" t="n">
        <v>1150</v>
      </c>
      <c r="D54" t="inlineStr">
        <is>
          <t>&lt; .001</t>
        </is>
      </c>
      <c r="E54" t="inlineStr">
        <is>
          <t>[-0.670, -0.601]</t>
        </is>
      </c>
      <c r="F54" t="inlineStr">
        <is>
          <t>&lt; .001</t>
        </is>
      </c>
      <c r="G54" t="inlineStr">
        <is>
          <t>✓</t>
        </is>
      </c>
    </row>
    <row r="55">
      <c r="A55" t="inlineStr">
        <is>
          <t>R_2_ROI</t>
        </is>
      </c>
      <c r="B55" t="n">
        <v>-0.657</v>
      </c>
      <c r="C55" t="n">
        <v>1150</v>
      </c>
      <c r="D55" t="inlineStr">
        <is>
          <t>&lt; .001</t>
        </is>
      </c>
      <c r="E55" t="inlineStr">
        <is>
          <t>[-0.689, -0.623]</t>
        </is>
      </c>
      <c r="F55" t="inlineStr">
        <is>
          <t>&lt; .001</t>
        </is>
      </c>
      <c r="G55" t="inlineStr">
        <is>
          <t>✓</t>
        </is>
      </c>
    </row>
    <row r="56">
      <c r="A56" t="inlineStr">
        <is>
          <t>R_3a_ROI</t>
        </is>
      </c>
      <c r="B56" t="n">
        <v>-0.54</v>
      </c>
      <c r="C56" t="n">
        <v>1150</v>
      </c>
      <c r="D56" t="inlineStr">
        <is>
          <t>&lt; .001</t>
        </is>
      </c>
      <c r="E56" t="inlineStr">
        <is>
          <t>[-0.580, -0.498]</t>
        </is>
      </c>
      <c r="F56" t="inlineStr">
        <is>
          <t>&lt; .001</t>
        </is>
      </c>
      <c r="G56" t="inlineStr">
        <is>
          <t>✓</t>
        </is>
      </c>
    </row>
    <row r="57">
      <c r="A57" t="inlineStr">
        <is>
          <t>R_6d_ROI</t>
        </is>
      </c>
      <c r="B57" t="n">
        <v>-0.595</v>
      </c>
      <c r="C57" t="n">
        <v>1150</v>
      </c>
      <c r="D57" t="inlineStr">
        <is>
          <t>&lt; .001</t>
        </is>
      </c>
      <c r="E57" t="inlineStr">
        <is>
          <t>[-0.631, -0.557]</t>
        </is>
      </c>
      <c r="F57" t="inlineStr">
        <is>
          <t>&lt; .001</t>
        </is>
      </c>
      <c r="G57" t="inlineStr">
        <is>
          <t>✓</t>
        </is>
      </c>
    </row>
    <row r="58">
      <c r="A58" t="inlineStr">
        <is>
          <t>R_6mp_ROI</t>
        </is>
      </c>
      <c r="B58" t="n">
        <v>-0.5620000000000001</v>
      </c>
      <c r="C58" t="n">
        <v>1150</v>
      </c>
      <c r="D58" t="inlineStr">
        <is>
          <t>&lt; .001</t>
        </is>
      </c>
      <c r="E58" t="inlineStr">
        <is>
          <t>[-0.601, -0.521]</t>
        </is>
      </c>
      <c r="F58" t="inlineStr">
        <is>
          <t>&lt; .001</t>
        </is>
      </c>
      <c r="G58" t="inlineStr">
        <is>
          <t>✓</t>
        </is>
      </c>
    </row>
    <row r="59">
      <c r="A59" t="inlineStr">
        <is>
          <t>R_6v_ROI</t>
        </is>
      </c>
      <c r="B59" t="n">
        <v>-0.586</v>
      </c>
      <c r="C59" t="n">
        <v>1150</v>
      </c>
      <c r="D59" t="inlineStr">
        <is>
          <t>&lt; .001</t>
        </is>
      </c>
      <c r="E59" t="inlineStr">
        <is>
          <t>[-0.622, -0.546]</t>
        </is>
      </c>
      <c r="F59" t="inlineStr">
        <is>
          <t>&lt; .001</t>
        </is>
      </c>
      <c r="G59" t="inlineStr">
        <is>
          <t>✓</t>
        </is>
      </c>
    </row>
    <row r="60">
      <c r="A60" t="inlineStr">
        <is>
          <t>R_p24pr_ROI</t>
        </is>
      </c>
      <c r="B60" t="n">
        <v>-0.438</v>
      </c>
      <c r="C60" t="n">
        <v>1150</v>
      </c>
      <c r="D60" t="inlineStr">
        <is>
          <t>&lt; .001</t>
        </is>
      </c>
      <c r="E60" t="inlineStr">
        <is>
          <t>[-0.484, -0.390]</t>
        </is>
      </c>
      <c r="F60" t="inlineStr">
        <is>
          <t>&lt; .001</t>
        </is>
      </c>
      <c r="G60" t="inlineStr">
        <is>
          <t>✓</t>
        </is>
      </c>
    </row>
    <row r="61">
      <c r="A61" t="inlineStr">
        <is>
          <t>R_33pr_ROI</t>
        </is>
      </c>
      <c r="B61" t="n">
        <v>-0.35</v>
      </c>
      <c r="C61" t="n">
        <v>1150</v>
      </c>
      <c r="D61" t="inlineStr">
        <is>
          <t>&lt; .001</t>
        </is>
      </c>
      <c r="E61" t="inlineStr">
        <is>
          <t>[-0.400, -0.299]</t>
        </is>
      </c>
      <c r="F61" t="inlineStr">
        <is>
          <t>&lt; .001</t>
        </is>
      </c>
      <c r="G61" t="inlineStr">
        <is>
          <t>✓</t>
        </is>
      </c>
    </row>
    <row r="62">
      <c r="A62" t="inlineStr">
        <is>
          <t>R_a24pr_ROI</t>
        </is>
      </c>
      <c r="B62" t="n">
        <v>-0.317</v>
      </c>
      <c r="C62" t="n">
        <v>1150</v>
      </c>
      <c r="D62" t="inlineStr">
        <is>
          <t>&lt; .001</t>
        </is>
      </c>
      <c r="E62" t="inlineStr">
        <is>
          <t>[-0.368, -0.264]</t>
        </is>
      </c>
      <c r="F62" t="inlineStr">
        <is>
          <t>&lt; .001</t>
        </is>
      </c>
      <c r="G62" t="inlineStr">
        <is>
          <t>✓</t>
        </is>
      </c>
    </row>
    <row r="63">
      <c r="A63" t="inlineStr">
        <is>
          <t>R_p32pr_ROI</t>
        </is>
      </c>
      <c r="B63" t="n">
        <v>-0.59</v>
      </c>
      <c r="C63" t="n">
        <v>1150</v>
      </c>
      <c r="D63" t="inlineStr">
        <is>
          <t>&lt; .001</t>
        </is>
      </c>
      <c r="E63" t="inlineStr">
        <is>
          <t>[-0.627, -0.551]</t>
        </is>
      </c>
      <c r="F63" t="inlineStr">
        <is>
          <t>&lt; .001</t>
        </is>
      </c>
      <c r="G63" t="inlineStr">
        <is>
          <t>✓</t>
        </is>
      </c>
    </row>
    <row r="64">
      <c r="A64" t="inlineStr">
        <is>
          <t>R_d32_ROI</t>
        </is>
      </c>
      <c r="B64" t="n">
        <v>-0.538</v>
      </c>
      <c r="C64" t="n">
        <v>1150</v>
      </c>
      <c r="D64" t="inlineStr">
        <is>
          <t>&lt; .001</t>
        </is>
      </c>
      <c r="E64" t="inlineStr">
        <is>
          <t>[-0.578, -0.496]</t>
        </is>
      </c>
      <c r="F64" t="inlineStr">
        <is>
          <t>&lt; .001</t>
        </is>
      </c>
      <c r="G64" t="inlineStr">
        <is>
          <t>✓</t>
        </is>
      </c>
    </row>
    <row r="65">
      <c r="A65" t="inlineStr">
        <is>
          <t>R_8BM_ROI</t>
        </is>
      </c>
      <c r="B65" t="n">
        <v>-0.571</v>
      </c>
      <c r="C65" t="n">
        <v>1150</v>
      </c>
      <c r="D65" t="inlineStr">
        <is>
          <t>&lt; .001</t>
        </is>
      </c>
      <c r="E65" t="inlineStr">
        <is>
          <t>[-0.609, -0.531]</t>
        </is>
      </c>
      <c r="F65" t="inlineStr">
        <is>
          <t>&lt; .001</t>
        </is>
      </c>
      <c r="G65" t="inlineStr">
        <is>
          <t>✓</t>
        </is>
      </c>
    </row>
    <row r="66">
      <c r="A66" t="inlineStr">
        <is>
          <t>R_p32_ROI</t>
        </is>
      </c>
      <c r="B66" t="n">
        <v>-0.122</v>
      </c>
      <c r="C66" t="n">
        <v>1150</v>
      </c>
      <c r="D66" t="inlineStr">
        <is>
          <t>&lt; .001</t>
        </is>
      </c>
      <c r="E66" t="inlineStr">
        <is>
          <t>[-0.178, -0.065]</t>
        </is>
      </c>
      <c r="F66" t="inlineStr">
        <is>
          <t>&lt; .001</t>
        </is>
      </c>
      <c r="G66" t="inlineStr">
        <is>
          <t>✓</t>
        </is>
      </c>
    </row>
    <row r="67">
      <c r="A67" t="inlineStr">
        <is>
          <t>R_47m_ROI</t>
        </is>
      </c>
      <c r="B67" t="n">
        <v>-0.445</v>
      </c>
      <c r="C67" t="n">
        <v>1150</v>
      </c>
      <c r="D67" t="inlineStr">
        <is>
          <t>&lt; .001</t>
        </is>
      </c>
      <c r="E67" t="inlineStr">
        <is>
          <t>[-0.490, -0.397]</t>
        </is>
      </c>
      <c r="F67" t="inlineStr">
        <is>
          <t>&lt; .001</t>
        </is>
      </c>
      <c r="G67" t="inlineStr">
        <is>
          <t>✓</t>
        </is>
      </c>
    </row>
    <row r="68">
      <c r="A68" t="inlineStr">
        <is>
          <t>R_8Av_ROI</t>
        </is>
      </c>
      <c r="B68" t="n">
        <v>-0.601</v>
      </c>
      <c r="C68" t="n">
        <v>1150</v>
      </c>
      <c r="D68" t="inlineStr">
        <is>
          <t>&lt; .001</t>
        </is>
      </c>
      <c r="E68" t="inlineStr">
        <is>
          <t>[-0.637, -0.563]</t>
        </is>
      </c>
      <c r="F68" t="inlineStr">
        <is>
          <t>&lt; .001</t>
        </is>
      </c>
      <c r="G68" t="inlineStr">
        <is>
          <t>✓</t>
        </is>
      </c>
    </row>
    <row r="69">
      <c r="A69" t="inlineStr">
        <is>
          <t>R_8Ad_ROI</t>
        </is>
      </c>
      <c r="B69" t="n">
        <v>-0.616</v>
      </c>
      <c r="C69" t="n">
        <v>1150</v>
      </c>
      <c r="D69" t="inlineStr">
        <is>
          <t>&lt; .001</t>
        </is>
      </c>
      <c r="E69" t="inlineStr">
        <is>
          <t>[-0.651, -0.579]</t>
        </is>
      </c>
      <c r="F69" t="inlineStr">
        <is>
          <t>&lt; .001</t>
        </is>
      </c>
      <c r="G69" t="inlineStr">
        <is>
          <t>✓</t>
        </is>
      </c>
    </row>
    <row r="70">
      <c r="A70" t="inlineStr">
        <is>
          <t>R_9m_ROI</t>
        </is>
      </c>
      <c r="B70" t="n">
        <v>-0.44</v>
      </c>
      <c r="C70" t="n">
        <v>1150</v>
      </c>
      <c r="D70" t="inlineStr">
        <is>
          <t>&lt; .001</t>
        </is>
      </c>
      <c r="E70" t="inlineStr">
        <is>
          <t>[-0.486, -0.392]</t>
        </is>
      </c>
      <c r="F70" t="inlineStr">
        <is>
          <t>&lt; .001</t>
        </is>
      </c>
      <c r="G70" t="inlineStr">
        <is>
          <t>✓</t>
        </is>
      </c>
    </row>
    <row r="71">
      <c r="A71" t="inlineStr">
        <is>
          <t>R_8BL_ROI</t>
        </is>
      </c>
      <c r="B71" t="n">
        <v>-0.522</v>
      </c>
      <c r="C71" t="n">
        <v>1150</v>
      </c>
      <c r="D71" t="inlineStr">
        <is>
          <t>&lt; .001</t>
        </is>
      </c>
      <c r="E71" t="inlineStr">
        <is>
          <t>[-0.562, -0.478]</t>
        </is>
      </c>
      <c r="F71" t="inlineStr">
        <is>
          <t>&lt; .001</t>
        </is>
      </c>
      <c r="G71" t="inlineStr">
        <is>
          <t>✓</t>
        </is>
      </c>
    </row>
    <row r="72">
      <c r="A72" t="inlineStr">
        <is>
          <t>R_9p_ROI</t>
        </is>
      </c>
      <c r="B72" t="n">
        <v>-0.457</v>
      </c>
      <c r="C72" t="n">
        <v>1150</v>
      </c>
      <c r="D72" t="inlineStr">
        <is>
          <t>&lt; .001</t>
        </is>
      </c>
      <c r="E72" t="inlineStr">
        <is>
          <t>[-0.501, -0.410]</t>
        </is>
      </c>
      <c r="F72" t="inlineStr">
        <is>
          <t>&lt; .001</t>
        </is>
      </c>
      <c r="G72" t="inlineStr">
        <is>
          <t>✓</t>
        </is>
      </c>
    </row>
    <row r="73">
      <c r="A73" t="inlineStr">
        <is>
          <t>R_10d_ROI</t>
        </is>
      </c>
      <c r="B73" t="n">
        <v>-0.333</v>
      </c>
      <c r="C73" t="n">
        <v>1150</v>
      </c>
      <c r="D73" t="inlineStr">
        <is>
          <t>&lt; .001</t>
        </is>
      </c>
      <c r="E73" t="inlineStr">
        <is>
          <t>[-0.383, -0.280]</t>
        </is>
      </c>
      <c r="F73" t="inlineStr">
        <is>
          <t>&lt; .001</t>
        </is>
      </c>
      <c r="G73" t="inlineStr">
        <is>
          <t>✓</t>
        </is>
      </c>
    </row>
    <row r="74">
      <c r="A74" t="inlineStr">
        <is>
          <t>R_8C_ROI</t>
        </is>
      </c>
      <c r="B74" t="n">
        <v>-0.644</v>
      </c>
      <c r="C74" t="n">
        <v>1150</v>
      </c>
      <c r="D74" t="inlineStr">
        <is>
          <t>&lt; .001</t>
        </is>
      </c>
      <c r="E74" t="inlineStr">
        <is>
          <t>[-0.676, -0.608]</t>
        </is>
      </c>
      <c r="F74" t="inlineStr">
        <is>
          <t>&lt; .001</t>
        </is>
      </c>
      <c r="G74" t="inlineStr">
        <is>
          <t>✓</t>
        </is>
      </c>
    </row>
    <row r="75">
      <c r="A75" t="inlineStr">
        <is>
          <t>R_44_ROI</t>
        </is>
      </c>
      <c r="B75" t="n">
        <v>-0.57</v>
      </c>
      <c r="C75" t="n">
        <v>1150</v>
      </c>
      <c r="D75" t="inlineStr">
        <is>
          <t>&lt; .001</t>
        </is>
      </c>
      <c r="E75" t="inlineStr">
        <is>
          <t>[-0.608, -0.529]</t>
        </is>
      </c>
      <c r="F75" t="inlineStr">
        <is>
          <t>&lt; .001</t>
        </is>
      </c>
      <c r="G75" t="inlineStr">
        <is>
          <t>✓</t>
        </is>
      </c>
    </row>
    <row r="76">
      <c r="A76" t="inlineStr">
        <is>
          <t>R_45_ROI</t>
        </is>
      </c>
      <c r="B76" t="n">
        <v>-0.589</v>
      </c>
      <c r="C76" t="n">
        <v>1150</v>
      </c>
      <c r="D76" t="inlineStr">
        <is>
          <t>&lt; .001</t>
        </is>
      </c>
      <c r="E76" t="inlineStr">
        <is>
          <t>[-0.625, -0.550]</t>
        </is>
      </c>
      <c r="F76" t="inlineStr">
        <is>
          <t>&lt; .001</t>
        </is>
      </c>
      <c r="G76" t="inlineStr">
        <is>
          <t>✓</t>
        </is>
      </c>
    </row>
    <row r="77">
      <c r="A77" t="inlineStr">
        <is>
          <t>R_47l_ROI</t>
        </is>
      </c>
      <c r="B77" t="n">
        <v>-0.534</v>
      </c>
      <c r="C77" t="n">
        <v>1150</v>
      </c>
      <c r="D77" t="inlineStr">
        <is>
          <t>&lt; .001</t>
        </is>
      </c>
      <c r="E77" t="inlineStr">
        <is>
          <t>[-0.574, -0.492]</t>
        </is>
      </c>
      <c r="F77" t="inlineStr">
        <is>
          <t>&lt; .001</t>
        </is>
      </c>
      <c r="G77" t="inlineStr">
        <is>
          <t>✓</t>
        </is>
      </c>
    </row>
    <row r="78">
      <c r="A78" t="inlineStr">
        <is>
          <t>R_a47r_ROI</t>
        </is>
      </c>
      <c r="B78" t="n">
        <v>-0.48</v>
      </c>
      <c r="C78" t="n">
        <v>1150</v>
      </c>
      <c r="D78" t="inlineStr">
        <is>
          <t>&lt; .001</t>
        </is>
      </c>
      <c r="E78" t="inlineStr">
        <is>
          <t>[-0.523, -0.434]</t>
        </is>
      </c>
      <c r="F78" t="inlineStr">
        <is>
          <t>&lt; .001</t>
        </is>
      </c>
      <c r="G78" t="inlineStr">
        <is>
          <t>✓</t>
        </is>
      </c>
    </row>
    <row r="79">
      <c r="A79" t="inlineStr">
        <is>
          <t>R_6r_ROI</t>
        </is>
      </c>
      <c r="B79" t="n">
        <v>-0.611</v>
      </c>
      <c r="C79" t="n">
        <v>1150</v>
      </c>
      <c r="D79" t="inlineStr">
        <is>
          <t>&lt; .001</t>
        </is>
      </c>
      <c r="E79" t="inlineStr">
        <is>
          <t>[-0.646, -0.574]</t>
        </is>
      </c>
      <c r="F79" t="inlineStr">
        <is>
          <t>&lt; .001</t>
        </is>
      </c>
      <c r="G79" t="inlineStr">
        <is>
          <t>✓</t>
        </is>
      </c>
    </row>
    <row r="80">
      <c r="A80" t="inlineStr">
        <is>
          <t>R_IFJa_ROI</t>
        </is>
      </c>
      <c r="B80" t="n">
        <v>-0.58</v>
      </c>
      <c r="C80" t="n">
        <v>1150</v>
      </c>
      <c r="D80" t="inlineStr">
        <is>
          <t>&lt; .001</t>
        </is>
      </c>
      <c r="E80" t="inlineStr">
        <is>
          <t>[-0.618, -0.541]</t>
        </is>
      </c>
      <c r="F80" t="inlineStr">
        <is>
          <t>&lt; .001</t>
        </is>
      </c>
      <c r="G80" t="inlineStr">
        <is>
          <t>✓</t>
        </is>
      </c>
    </row>
    <row r="81">
      <c r="A81" t="inlineStr">
        <is>
          <t>R_IFJp_ROI</t>
        </is>
      </c>
      <c r="B81" t="n">
        <v>-0.544</v>
      </c>
      <c r="C81" t="n">
        <v>1150</v>
      </c>
      <c r="D81" t="inlineStr">
        <is>
          <t>&lt; .001</t>
        </is>
      </c>
      <c r="E81" t="inlineStr">
        <is>
          <t>[-0.584, -0.502]</t>
        </is>
      </c>
      <c r="F81" t="inlineStr">
        <is>
          <t>&lt; .001</t>
        </is>
      </c>
      <c r="G81" t="inlineStr">
        <is>
          <t>✓</t>
        </is>
      </c>
    </row>
    <row r="82">
      <c r="A82" t="inlineStr">
        <is>
          <t>R_IFSp_ROI</t>
        </is>
      </c>
      <c r="B82" t="n">
        <v>-0.576</v>
      </c>
      <c r="C82" t="n">
        <v>1150</v>
      </c>
      <c r="D82" t="inlineStr">
        <is>
          <t>&lt; .001</t>
        </is>
      </c>
      <c r="E82" t="inlineStr">
        <is>
          <t>[-0.613, -0.536]</t>
        </is>
      </c>
      <c r="F82" t="inlineStr">
        <is>
          <t>&lt; .001</t>
        </is>
      </c>
      <c r="G82" t="inlineStr">
        <is>
          <t>✓</t>
        </is>
      </c>
    </row>
    <row r="83">
      <c r="A83" t="inlineStr">
        <is>
          <t>R_IFSa_ROI</t>
        </is>
      </c>
      <c r="B83" t="n">
        <v>-0.501</v>
      </c>
      <c r="C83" t="n">
        <v>1150</v>
      </c>
      <c r="D83" t="inlineStr">
        <is>
          <t>&lt; .001</t>
        </is>
      </c>
      <c r="E83" t="inlineStr">
        <is>
          <t>[-0.543, -0.457]</t>
        </is>
      </c>
      <c r="F83" t="inlineStr">
        <is>
          <t>&lt; .001</t>
        </is>
      </c>
      <c r="G83" t="inlineStr">
        <is>
          <t>✓</t>
        </is>
      </c>
    </row>
    <row r="84">
      <c r="A84" t="inlineStr">
        <is>
          <t>R_p9_46v_ROI</t>
        </is>
      </c>
      <c r="B84" t="n">
        <v>-0.601</v>
      </c>
      <c r="C84" t="n">
        <v>1150</v>
      </c>
      <c r="D84" t="inlineStr">
        <is>
          <t>&lt; .001</t>
        </is>
      </c>
      <c r="E84" t="inlineStr">
        <is>
          <t>[-0.636, -0.562]</t>
        </is>
      </c>
      <c r="F84" t="inlineStr">
        <is>
          <t>&lt; .001</t>
        </is>
      </c>
      <c r="G84" t="inlineStr">
        <is>
          <t>✓</t>
        </is>
      </c>
    </row>
    <row r="85">
      <c r="A85" t="inlineStr">
        <is>
          <t>R_46_ROI</t>
        </is>
      </c>
      <c r="B85" t="n">
        <v>-0.575</v>
      </c>
      <c r="C85" t="n">
        <v>1150</v>
      </c>
      <c r="D85" t="inlineStr">
        <is>
          <t>&lt; .001</t>
        </is>
      </c>
      <c r="E85" t="inlineStr">
        <is>
          <t>[-0.613, -0.535]</t>
        </is>
      </c>
      <c r="F85" t="inlineStr">
        <is>
          <t>&lt; .001</t>
        </is>
      </c>
      <c r="G85" t="inlineStr">
        <is>
          <t>✓</t>
        </is>
      </c>
    </row>
    <row r="86">
      <c r="A86" t="inlineStr">
        <is>
          <t>R_a9_46v_ROI</t>
        </is>
      </c>
      <c r="B86" t="n">
        <v>-0.509</v>
      </c>
      <c r="C86" t="n">
        <v>1150</v>
      </c>
      <c r="D86" t="inlineStr">
        <is>
          <t>&lt; .001</t>
        </is>
      </c>
      <c r="E86" t="inlineStr">
        <is>
          <t>[-0.551, -0.465]</t>
        </is>
      </c>
      <c r="F86" t="inlineStr">
        <is>
          <t>&lt; .001</t>
        </is>
      </c>
      <c r="G86" t="inlineStr">
        <is>
          <t>✓</t>
        </is>
      </c>
    </row>
    <row r="87">
      <c r="A87" t="inlineStr">
        <is>
          <t>R_9_46d_ROI</t>
        </is>
      </c>
      <c r="B87" t="n">
        <v>-0.546</v>
      </c>
      <c r="C87" t="n">
        <v>1150</v>
      </c>
      <c r="D87" t="inlineStr">
        <is>
          <t>&lt; .001</t>
        </is>
      </c>
      <c r="E87" t="inlineStr">
        <is>
          <t>[-0.586, -0.504]</t>
        </is>
      </c>
      <c r="F87" t="inlineStr">
        <is>
          <t>&lt; .001</t>
        </is>
      </c>
      <c r="G87" t="inlineStr">
        <is>
          <t>✓</t>
        </is>
      </c>
    </row>
    <row r="88">
      <c r="A88" t="inlineStr">
        <is>
          <t>R_9a_ROI</t>
        </is>
      </c>
      <c r="B88" t="n">
        <v>-0.397</v>
      </c>
      <c r="C88" t="n">
        <v>1150</v>
      </c>
      <c r="D88" t="inlineStr">
        <is>
          <t>&lt; .001</t>
        </is>
      </c>
      <c r="E88" t="inlineStr">
        <is>
          <t>[-0.445, -0.347]</t>
        </is>
      </c>
      <c r="F88" t="inlineStr">
        <is>
          <t>&lt; .001</t>
        </is>
      </c>
      <c r="G88" t="inlineStr">
        <is>
          <t>✓</t>
        </is>
      </c>
    </row>
    <row r="89">
      <c r="A89" t="inlineStr">
        <is>
          <t>R_a10p_ROI</t>
        </is>
      </c>
      <c r="B89" t="n">
        <v>-0.312</v>
      </c>
      <c r="C89" t="n">
        <v>1150</v>
      </c>
      <c r="D89" t="inlineStr">
        <is>
          <t>&lt; .001</t>
        </is>
      </c>
      <c r="E89" t="inlineStr">
        <is>
          <t>[-0.363, -0.259]</t>
        </is>
      </c>
      <c r="F89" t="inlineStr">
        <is>
          <t>&lt; .001</t>
        </is>
      </c>
      <c r="G89" t="inlineStr">
        <is>
          <t>✓</t>
        </is>
      </c>
    </row>
    <row r="90">
      <c r="A90" t="inlineStr">
        <is>
          <t>R_10pp_ROI</t>
        </is>
      </c>
      <c r="B90" t="n">
        <v>-0.25</v>
      </c>
      <c r="C90" t="n">
        <v>1150</v>
      </c>
      <c r="D90" t="inlineStr">
        <is>
          <t>&lt; .001</t>
        </is>
      </c>
      <c r="E90" t="inlineStr">
        <is>
          <t>[-0.304, -0.195]</t>
        </is>
      </c>
      <c r="F90" t="inlineStr">
        <is>
          <t>&lt; .001</t>
        </is>
      </c>
      <c r="G90" t="inlineStr">
        <is>
          <t>✓</t>
        </is>
      </c>
    </row>
    <row r="91">
      <c r="A91" t="inlineStr">
        <is>
          <t>R_11l_ROI</t>
        </is>
      </c>
      <c r="B91" t="n">
        <v>-0.181</v>
      </c>
      <c r="C91" t="n">
        <v>1150</v>
      </c>
      <c r="D91" t="inlineStr">
        <is>
          <t>&lt; .001</t>
        </is>
      </c>
      <c r="E91" t="inlineStr">
        <is>
          <t>[-0.237, -0.125]</t>
        </is>
      </c>
      <c r="F91" t="inlineStr">
        <is>
          <t>&lt; .001</t>
        </is>
      </c>
      <c r="G91" t="inlineStr">
        <is>
          <t>✓</t>
        </is>
      </c>
    </row>
    <row r="92">
      <c r="A92" t="inlineStr">
        <is>
          <t>R_13l_ROI</t>
        </is>
      </c>
      <c r="B92" t="n">
        <v>-0.19</v>
      </c>
      <c r="C92" t="n">
        <v>1150</v>
      </c>
      <c r="D92" t="inlineStr">
        <is>
          <t>&lt; .001</t>
        </is>
      </c>
      <c r="E92" t="inlineStr">
        <is>
          <t>[-0.245, -0.133]</t>
        </is>
      </c>
      <c r="F92" t="inlineStr">
        <is>
          <t>&lt; .001</t>
        </is>
      </c>
      <c r="G92" t="inlineStr">
        <is>
          <t>✓</t>
        </is>
      </c>
    </row>
    <row r="93">
      <c r="A93" t="inlineStr">
        <is>
          <t>R_OFC_ROI</t>
        </is>
      </c>
      <c r="B93" t="n">
        <v>0.367</v>
      </c>
      <c r="C93" t="n">
        <v>1150</v>
      </c>
      <c r="D93" t="inlineStr">
        <is>
          <t>&lt; .001</t>
        </is>
      </c>
      <c r="E93" t="inlineStr">
        <is>
          <t>[0.316, 0.416]</t>
        </is>
      </c>
      <c r="F93" t="inlineStr">
        <is>
          <t>&lt; .001</t>
        </is>
      </c>
      <c r="G93" t="inlineStr">
        <is>
          <t>✓</t>
        </is>
      </c>
    </row>
    <row r="94">
      <c r="A94" t="inlineStr">
        <is>
          <t>R_47s_ROI</t>
        </is>
      </c>
      <c r="B94" t="n">
        <v>-0.363</v>
      </c>
      <c r="C94" t="n">
        <v>1150</v>
      </c>
      <c r="D94" t="inlineStr">
        <is>
          <t>&lt; .001</t>
        </is>
      </c>
      <c r="E94" t="inlineStr">
        <is>
          <t>[-0.412, -0.311]</t>
        </is>
      </c>
      <c r="F94" t="inlineStr">
        <is>
          <t>&lt; .001</t>
        </is>
      </c>
      <c r="G94" t="inlineStr">
        <is>
          <t>✓</t>
        </is>
      </c>
    </row>
    <row r="95">
      <c r="A95" t="inlineStr">
        <is>
          <t>R_LIPd_ROI</t>
        </is>
      </c>
      <c r="B95" t="n">
        <v>-0.499</v>
      </c>
      <c r="C95" t="n">
        <v>1150</v>
      </c>
      <c r="D95" t="inlineStr">
        <is>
          <t>&lt; .001</t>
        </is>
      </c>
      <c r="E95" t="inlineStr">
        <is>
          <t>[-0.541, -0.454]</t>
        </is>
      </c>
      <c r="F95" t="inlineStr">
        <is>
          <t>&lt; .001</t>
        </is>
      </c>
      <c r="G95" t="inlineStr">
        <is>
          <t>✓</t>
        </is>
      </c>
    </row>
    <row r="96">
      <c r="A96" t="inlineStr">
        <is>
          <t>R_6a_ROI</t>
        </is>
      </c>
      <c r="B96" t="n">
        <v>-0.663</v>
      </c>
      <c r="C96" t="n">
        <v>1150</v>
      </c>
      <c r="D96" t="inlineStr">
        <is>
          <t>&lt; .001</t>
        </is>
      </c>
      <c r="E96" t="inlineStr">
        <is>
          <t>[-0.694, -0.630]</t>
        </is>
      </c>
      <c r="F96" t="inlineStr">
        <is>
          <t>&lt; .001</t>
        </is>
      </c>
      <c r="G96" t="inlineStr">
        <is>
          <t>✓</t>
        </is>
      </c>
    </row>
    <row r="97">
      <c r="A97" t="inlineStr">
        <is>
          <t>R_i6_8_ROI</t>
        </is>
      </c>
      <c r="B97" t="n">
        <v>-0.59</v>
      </c>
      <c r="C97" t="n">
        <v>1150</v>
      </c>
      <c r="D97" t="inlineStr">
        <is>
          <t>&lt; .001</t>
        </is>
      </c>
      <c r="E97" t="inlineStr">
        <is>
          <t>[-0.627, -0.551]</t>
        </is>
      </c>
      <c r="F97" t="inlineStr">
        <is>
          <t>&lt; .001</t>
        </is>
      </c>
      <c r="G97" t="inlineStr">
        <is>
          <t>✓</t>
        </is>
      </c>
    </row>
    <row r="98">
      <c r="A98" t="inlineStr">
        <is>
          <t>R_s6_8_ROI</t>
        </is>
      </c>
      <c r="B98" t="n">
        <v>-0.556</v>
      </c>
      <c r="C98" t="n">
        <v>1150</v>
      </c>
      <c r="D98" t="inlineStr">
        <is>
          <t>&lt; .001</t>
        </is>
      </c>
      <c r="E98" t="inlineStr">
        <is>
          <t>[-0.595, -0.515]</t>
        </is>
      </c>
      <c r="F98" t="inlineStr">
        <is>
          <t>&lt; .001</t>
        </is>
      </c>
      <c r="G98" t="inlineStr">
        <is>
          <t>✓</t>
        </is>
      </c>
    </row>
    <row r="99">
      <c r="A99" t="inlineStr">
        <is>
          <t>R_43_ROI</t>
        </is>
      </c>
      <c r="B99" t="n">
        <v>-0.572</v>
      </c>
      <c r="C99" t="n">
        <v>1150</v>
      </c>
      <c r="D99" t="inlineStr">
        <is>
          <t>&lt; .001</t>
        </is>
      </c>
      <c r="E99" t="inlineStr">
        <is>
          <t>[-0.609, -0.531]</t>
        </is>
      </c>
      <c r="F99" t="inlineStr">
        <is>
          <t>&lt; .001</t>
        </is>
      </c>
      <c r="G99" t="inlineStr">
        <is>
          <t>✓</t>
        </is>
      </c>
    </row>
    <row r="100">
      <c r="A100" t="inlineStr">
        <is>
          <t>R_OP4_ROI</t>
        </is>
      </c>
      <c r="B100" t="n">
        <v>-0.542</v>
      </c>
      <c r="C100" t="n">
        <v>1150</v>
      </c>
      <c r="D100" t="inlineStr">
        <is>
          <t>&lt; .001</t>
        </is>
      </c>
      <c r="E100" t="inlineStr">
        <is>
          <t>[-0.581, -0.500]</t>
        </is>
      </c>
      <c r="F100" t="inlineStr">
        <is>
          <t>&lt; .001</t>
        </is>
      </c>
      <c r="G100" t="inlineStr">
        <is>
          <t>✓</t>
        </is>
      </c>
    </row>
    <row r="101">
      <c r="A101" t="inlineStr">
        <is>
          <t>R_OP1_ROI</t>
        </is>
      </c>
      <c r="B101" t="n">
        <v>-0.508</v>
      </c>
      <c r="C101" t="n">
        <v>1150</v>
      </c>
      <c r="D101" t="inlineStr">
        <is>
          <t>&lt; .001</t>
        </is>
      </c>
      <c r="E101" t="inlineStr">
        <is>
          <t>[-0.550, -0.464]</t>
        </is>
      </c>
      <c r="F101" t="inlineStr">
        <is>
          <t>&lt; .001</t>
        </is>
      </c>
      <c r="G101" t="inlineStr">
        <is>
          <t>✓</t>
        </is>
      </c>
    </row>
    <row r="102">
      <c r="A102" t="inlineStr">
        <is>
          <t>R_OP2_3_ROI</t>
        </is>
      </c>
      <c r="B102" t="n">
        <v>-0.675</v>
      </c>
      <c r="C102" t="n">
        <v>1150</v>
      </c>
      <c r="D102" t="inlineStr">
        <is>
          <t>&lt; .001</t>
        </is>
      </c>
      <c r="E102" t="inlineStr">
        <is>
          <t>[-0.706, -0.643]</t>
        </is>
      </c>
      <c r="F102" t="inlineStr">
        <is>
          <t>&lt; .001</t>
        </is>
      </c>
      <c r="G102" t="inlineStr">
        <is>
          <t>✓</t>
        </is>
      </c>
    </row>
    <row r="103">
      <c r="A103" t="inlineStr">
        <is>
          <t>R_52_ROI</t>
        </is>
      </c>
      <c r="B103" t="n">
        <v>-0.491</v>
      </c>
      <c r="C103" t="n">
        <v>1150</v>
      </c>
      <c r="D103" t="inlineStr">
        <is>
          <t>&lt; .001</t>
        </is>
      </c>
      <c r="E103" t="inlineStr">
        <is>
          <t>[-0.534, -0.446]</t>
        </is>
      </c>
      <c r="F103" t="inlineStr">
        <is>
          <t>&lt; .001</t>
        </is>
      </c>
      <c r="G103" t="inlineStr">
        <is>
          <t>✓</t>
        </is>
      </c>
    </row>
    <row r="104">
      <c r="A104" t="inlineStr">
        <is>
          <t>R_RI_ROI</t>
        </is>
      </c>
      <c r="B104" t="n">
        <v>-0.6840000000000001</v>
      </c>
      <c r="C104" t="n">
        <v>1150</v>
      </c>
      <c r="D104" t="inlineStr">
        <is>
          <t>&lt; .001</t>
        </is>
      </c>
      <c r="E104" t="inlineStr">
        <is>
          <t>[-0.714, -0.652]</t>
        </is>
      </c>
      <c r="F104" t="inlineStr">
        <is>
          <t>&lt; .001</t>
        </is>
      </c>
      <c r="G104" t="inlineStr">
        <is>
          <t>✓</t>
        </is>
      </c>
    </row>
    <row r="105">
      <c r="A105" t="inlineStr">
        <is>
          <t>R_PFcm_ROI</t>
        </is>
      </c>
      <c r="B105" t="n">
        <v>-0.515</v>
      </c>
      <c r="C105" t="n">
        <v>1150</v>
      </c>
      <c r="D105" t="inlineStr">
        <is>
          <t>&lt; .001</t>
        </is>
      </c>
      <c r="E105" t="inlineStr">
        <is>
          <t>[-0.556, -0.471]</t>
        </is>
      </c>
      <c r="F105" t="inlineStr">
        <is>
          <t>&lt; .001</t>
        </is>
      </c>
      <c r="G105" t="inlineStr">
        <is>
          <t>✓</t>
        </is>
      </c>
    </row>
    <row r="106">
      <c r="A106" t="inlineStr">
        <is>
          <t>R_PoI2_ROI</t>
        </is>
      </c>
      <c r="B106" t="n">
        <v>-0.233</v>
      </c>
      <c r="C106" t="n">
        <v>1150</v>
      </c>
      <c r="D106" t="inlineStr">
        <is>
          <t>&lt; .001</t>
        </is>
      </c>
      <c r="E106" t="inlineStr">
        <is>
          <t>[-0.287, -0.178]</t>
        </is>
      </c>
      <c r="F106" t="inlineStr">
        <is>
          <t>&lt; .001</t>
        </is>
      </c>
      <c r="G106" t="inlineStr">
        <is>
          <t>✓</t>
        </is>
      </c>
    </row>
    <row r="107">
      <c r="A107" t="inlineStr">
        <is>
          <t>R_TA2_ROI</t>
        </is>
      </c>
      <c r="B107" t="n">
        <v>-0.569</v>
      </c>
      <c r="C107" t="n">
        <v>1150</v>
      </c>
      <c r="D107" t="inlineStr">
        <is>
          <t>&lt; .001</t>
        </is>
      </c>
      <c r="E107" t="inlineStr">
        <is>
          <t>[-0.607, -0.529]</t>
        </is>
      </c>
      <c r="F107" t="inlineStr">
        <is>
          <t>&lt; .001</t>
        </is>
      </c>
      <c r="G107" t="inlineStr">
        <is>
          <t>✓</t>
        </is>
      </c>
    </row>
    <row r="108">
      <c r="A108" t="inlineStr">
        <is>
          <t>R_FOP4_ROI</t>
        </is>
      </c>
      <c r="B108" t="n">
        <v>-0.658</v>
      </c>
      <c r="C108" t="n">
        <v>1150</v>
      </c>
      <c r="D108" t="inlineStr">
        <is>
          <t>&lt; .001</t>
        </is>
      </c>
      <c r="E108" t="inlineStr">
        <is>
          <t>[-0.690, -0.624]</t>
        </is>
      </c>
      <c r="F108" t="inlineStr">
        <is>
          <t>&lt; .001</t>
        </is>
      </c>
      <c r="G108" t="inlineStr">
        <is>
          <t>✓</t>
        </is>
      </c>
    </row>
    <row r="109">
      <c r="A109" t="inlineStr">
        <is>
          <t>R_MI_ROI</t>
        </is>
      </c>
      <c r="B109" t="n">
        <v>-0.357</v>
      </c>
      <c r="C109" t="n">
        <v>1150</v>
      </c>
      <c r="D109" t="inlineStr">
        <is>
          <t>&lt; .001</t>
        </is>
      </c>
      <c r="E109" t="inlineStr">
        <is>
          <t>[-0.406, -0.305]</t>
        </is>
      </c>
      <c r="F109" t="inlineStr">
        <is>
          <t>&lt; .001</t>
        </is>
      </c>
      <c r="G109" t="inlineStr">
        <is>
          <t>✓</t>
        </is>
      </c>
    </row>
    <row r="110">
      <c r="A110" t="inlineStr">
        <is>
          <t>R_Pir_ROI</t>
        </is>
      </c>
      <c r="B110" t="n">
        <v>-0.199</v>
      </c>
      <c r="C110" t="n">
        <v>1150</v>
      </c>
      <c r="D110" t="inlineStr">
        <is>
          <t>&lt; .001</t>
        </is>
      </c>
      <c r="E110" t="inlineStr">
        <is>
          <t>[-0.254, -0.143]</t>
        </is>
      </c>
      <c r="F110" t="inlineStr">
        <is>
          <t>&lt; .001</t>
        </is>
      </c>
      <c r="G110" t="inlineStr">
        <is>
          <t>✓</t>
        </is>
      </c>
    </row>
    <row r="111">
      <c r="A111" t="inlineStr">
        <is>
          <t>R_AVI_ROI</t>
        </is>
      </c>
      <c r="B111" t="n">
        <v>-0.503</v>
      </c>
      <c r="C111" t="n">
        <v>1150</v>
      </c>
      <c r="D111" t="inlineStr">
        <is>
          <t>&lt; .001</t>
        </is>
      </c>
      <c r="E111" t="inlineStr">
        <is>
          <t>[-0.545, -0.458]</t>
        </is>
      </c>
      <c r="F111" t="inlineStr">
        <is>
          <t>&lt; .001</t>
        </is>
      </c>
      <c r="G111" t="inlineStr">
        <is>
          <t>✓</t>
        </is>
      </c>
    </row>
    <row r="112">
      <c r="A112" t="inlineStr">
        <is>
          <t>R_AAIC_ROI</t>
        </is>
      </c>
      <c r="B112" t="n">
        <v>-0.388</v>
      </c>
      <c r="C112" t="n">
        <v>1150</v>
      </c>
      <c r="D112" t="inlineStr">
        <is>
          <t>&lt; .001</t>
        </is>
      </c>
      <c r="E112" t="inlineStr">
        <is>
          <t>[-0.436, -0.338]</t>
        </is>
      </c>
      <c r="F112" t="inlineStr">
        <is>
          <t>&lt; .001</t>
        </is>
      </c>
      <c r="G112" t="inlineStr">
        <is>
          <t>✓</t>
        </is>
      </c>
    </row>
    <row r="113">
      <c r="A113" t="inlineStr">
        <is>
          <t>R_FOP1_ROI</t>
        </is>
      </c>
      <c r="B113" t="n">
        <v>-0.592</v>
      </c>
      <c r="C113" t="n">
        <v>1150</v>
      </c>
      <c r="D113" t="inlineStr">
        <is>
          <t>&lt; .001</t>
        </is>
      </c>
      <c r="E113" t="inlineStr">
        <is>
          <t>[-0.629, -0.553]</t>
        </is>
      </c>
      <c r="F113" t="inlineStr">
        <is>
          <t>&lt; .001</t>
        </is>
      </c>
      <c r="G113" t="inlineStr">
        <is>
          <t>✓</t>
        </is>
      </c>
    </row>
    <row r="114">
      <c r="A114" t="inlineStr">
        <is>
          <t>R_FOP3_ROI</t>
        </is>
      </c>
      <c r="B114" t="n">
        <v>-0.543</v>
      </c>
      <c r="C114" t="n">
        <v>1150</v>
      </c>
      <c r="D114" t="inlineStr">
        <is>
          <t>&lt; .001</t>
        </is>
      </c>
      <c r="E114" t="inlineStr">
        <is>
          <t>[-0.583, -0.501]</t>
        </is>
      </c>
      <c r="F114" t="inlineStr">
        <is>
          <t>&lt; .001</t>
        </is>
      </c>
      <c r="G114" t="inlineStr">
        <is>
          <t>✓</t>
        </is>
      </c>
    </row>
    <row r="115">
      <c r="A115" t="inlineStr">
        <is>
          <t>R_FOP2_ROI</t>
        </is>
      </c>
      <c r="B115" t="n">
        <v>-0.539</v>
      </c>
      <c r="C115" t="n">
        <v>1150</v>
      </c>
      <c r="D115" t="inlineStr">
        <is>
          <t>&lt; .001</t>
        </is>
      </c>
      <c r="E115" t="inlineStr">
        <is>
          <t>[-0.579, -0.497]</t>
        </is>
      </c>
      <c r="F115" t="inlineStr">
        <is>
          <t>&lt; .001</t>
        </is>
      </c>
      <c r="G115" t="inlineStr">
        <is>
          <t>✓</t>
        </is>
      </c>
    </row>
    <row r="116">
      <c r="A116" t="inlineStr">
        <is>
          <t>R_PFt_ROI</t>
        </is>
      </c>
      <c r="B116" t="n">
        <v>-0.506</v>
      </c>
      <c r="C116" t="n">
        <v>1150</v>
      </c>
      <c r="D116" t="inlineStr">
        <is>
          <t>&lt; .001</t>
        </is>
      </c>
      <c r="E116" t="inlineStr">
        <is>
          <t>[-0.548, -0.462]</t>
        </is>
      </c>
      <c r="F116" t="inlineStr">
        <is>
          <t>&lt; .001</t>
        </is>
      </c>
      <c r="G116" t="inlineStr">
        <is>
          <t>✓</t>
        </is>
      </c>
    </row>
    <row r="117">
      <c r="A117" t="inlineStr">
        <is>
          <t>R_AIP_ROI</t>
        </is>
      </c>
      <c r="B117" t="n">
        <v>-0.627</v>
      </c>
      <c r="C117" t="n">
        <v>1150</v>
      </c>
      <c r="D117" t="inlineStr">
        <is>
          <t>&lt; .001</t>
        </is>
      </c>
      <c r="E117" t="inlineStr">
        <is>
          <t>[-0.661, -0.590]</t>
        </is>
      </c>
      <c r="F117" t="inlineStr">
        <is>
          <t>&lt; .001</t>
        </is>
      </c>
      <c r="G117" t="inlineStr">
        <is>
          <t>✓</t>
        </is>
      </c>
    </row>
    <row r="118">
      <c r="A118" t="inlineStr">
        <is>
          <t>R_EC_ROI</t>
        </is>
      </c>
      <c r="B118" t="n">
        <v>-0.196</v>
      </c>
      <c r="C118" t="n">
        <v>1150</v>
      </c>
      <c r="D118" t="inlineStr">
        <is>
          <t>&lt; .001</t>
        </is>
      </c>
      <c r="E118" t="inlineStr">
        <is>
          <t>[-0.251, -0.140]</t>
        </is>
      </c>
      <c r="F118" t="inlineStr">
        <is>
          <t>&lt; .001</t>
        </is>
      </c>
      <c r="G118" t="inlineStr">
        <is>
          <t>✓</t>
        </is>
      </c>
    </row>
    <row r="119">
      <c r="A119" t="inlineStr">
        <is>
          <t>R_PreS_ROI</t>
        </is>
      </c>
      <c r="B119" t="n">
        <v>-0.358</v>
      </c>
      <c r="C119" t="n">
        <v>1150</v>
      </c>
      <c r="D119" t="inlineStr">
        <is>
          <t>&lt; .001</t>
        </is>
      </c>
      <c r="E119" t="inlineStr">
        <is>
          <t>[-0.407, -0.306]</t>
        </is>
      </c>
      <c r="F119" t="inlineStr">
        <is>
          <t>&lt; .001</t>
        </is>
      </c>
      <c r="G119" t="inlineStr">
        <is>
          <t>✓</t>
        </is>
      </c>
    </row>
    <row r="120">
      <c r="A120" t="inlineStr">
        <is>
          <t>R_H_ROI</t>
        </is>
      </c>
      <c r="B120" t="n">
        <v>-0.472</v>
      </c>
      <c r="C120" t="n">
        <v>1150</v>
      </c>
      <c r="D120" t="inlineStr">
        <is>
          <t>&lt; .001</t>
        </is>
      </c>
      <c r="E120" t="inlineStr">
        <is>
          <t>[-0.516, -0.426]</t>
        </is>
      </c>
      <c r="F120" t="inlineStr">
        <is>
          <t>&lt; .001</t>
        </is>
      </c>
      <c r="G120" t="inlineStr">
        <is>
          <t>✓</t>
        </is>
      </c>
    </row>
    <row r="121">
      <c r="A121" t="inlineStr">
        <is>
          <t>R_ProS_ROI</t>
        </is>
      </c>
      <c r="B121" t="n">
        <v>-0.527</v>
      </c>
      <c r="C121" t="n">
        <v>1150</v>
      </c>
      <c r="D121" t="inlineStr">
        <is>
          <t>&lt; .001</t>
        </is>
      </c>
      <c r="E121" t="inlineStr">
        <is>
          <t>[-0.568, -0.484]</t>
        </is>
      </c>
      <c r="F121" t="inlineStr">
        <is>
          <t>&lt; .001</t>
        </is>
      </c>
      <c r="G121" t="inlineStr">
        <is>
          <t>✓</t>
        </is>
      </c>
    </row>
    <row r="122">
      <c r="A122" t="inlineStr">
        <is>
          <t>R_PeEc_ROI</t>
        </is>
      </c>
      <c r="B122" t="n">
        <v>-0.445</v>
      </c>
      <c r="C122" t="n">
        <v>1150</v>
      </c>
      <c r="D122" t="inlineStr">
        <is>
          <t>&lt; .001</t>
        </is>
      </c>
      <c r="E122" t="inlineStr">
        <is>
          <t>[-0.490, -0.398]</t>
        </is>
      </c>
      <c r="F122" t="inlineStr">
        <is>
          <t>&lt; .001</t>
        </is>
      </c>
      <c r="G122" t="inlineStr">
        <is>
          <t>✓</t>
        </is>
      </c>
    </row>
    <row r="123">
      <c r="A123" t="inlineStr">
        <is>
          <t>R_STGa_ROI</t>
        </is>
      </c>
      <c r="B123" t="n">
        <v>-0.453</v>
      </c>
      <c r="C123" t="n">
        <v>1150</v>
      </c>
      <c r="D123" t="inlineStr">
        <is>
          <t>&lt; .001</t>
        </is>
      </c>
      <c r="E123" t="inlineStr">
        <is>
          <t>[-0.498, -0.406]</t>
        </is>
      </c>
      <c r="F123" t="inlineStr">
        <is>
          <t>&lt; .001</t>
        </is>
      </c>
      <c r="G123" t="inlineStr">
        <is>
          <t>✓</t>
        </is>
      </c>
    </row>
    <row r="124">
      <c r="A124" t="inlineStr">
        <is>
          <t>R_PBelt_ROI</t>
        </is>
      </c>
      <c r="B124" t="n">
        <v>-0.596</v>
      </c>
      <c r="C124" t="n">
        <v>1150</v>
      </c>
      <c r="D124" t="inlineStr">
        <is>
          <t>&lt; .001</t>
        </is>
      </c>
      <c r="E124" t="inlineStr">
        <is>
          <t>[-0.632, -0.557]</t>
        </is>
      </c>
      <c r="F124" t="inlineStr">
        <is>
          <t>&lt; .001</t>
        </is>
      </c>
      <c r="G124" t="inlineStr">
        <is>
          <t>✓</t>
        </is>
      </c>
    </row>
    <row r="125">
      <c r="A125" t="inlineStr">
        <is>
          <t>R_A5_ROI</t>
        </is>
      </c>
      <c r="B125" t="n">
        <v>-0.618</v>
      </c>
      <c r="C125" t="n">
        <v>1150</v>
      </c>
      <c r="D125" t="inlineStr">
        <is>
          <t>&lt; .001</t>
        </is>
      </c>
      <c r="E125" t="inlineStr">
        <is>
          <t>[-0.652, -0.581]</t>
        </is>
      </c>
      <c r="F125" t="inlineStr">
        <is>
          <t>&lt; .001</t>
        </is>
      </c>
      <c r="G125" t="inlineStr">
        <is>
          <t>✓</t>
        </is>
      </c>
    </row>
    <row r="126">
      <c r="A126" t="inlineStr">
        <is>
          <t>R_PHA1_ROI</t>
        </is>
      </c>
      <c r="B126" t="n">
        <v>-0.389</v>
      </c>
      <c r="C126" t="n">
        <v>1150</v>
      </c>
      <c r="D126" t="inlineStr">
        <is>
          <t>&lt; .001</t>
        </is>
      </c>
      <c r="E126" t="inlineStr">
        <is>
          <t>[-0.437, -0.338]</t>
        </is>
      </c>
      <c r="F126" t="inlineStr">
        <is>
          <t>&lt; .001</t>
        </is>
      </c>
      <c r="G126" t="inlineStr">
        <is>
          <t>✓</t>
        </is>
      </c>
    </row>
    <row r="127">
      <c r="A127" t="inlineStr">
        <is>
          <t>R_PHA3_ROI</t>
        </is>
      </c>
      <c r="B127" t="n">
        <v>-0.498</v>
      </c>
      <c r="C127" t="n">
        <v>1150</v>
      </c>
      <c r="D127" t="inlineStr">
        <is>
          <t>&lt; .001</t>
        </is>
      </c>
      <c r="E127" t="inlineStr">
        <is>
          <t>[-0.540, -0.453]</t>
        </is>
      </c>
      <c r="F127" t="inlineStr">
        <is>
          <t>&lt; .001</t>
        </is>
      </c>
      <c r="G127" t="inlineStr">
        <is>
          <t>✓</t>
        </is>
      </c>
    </row>
    <row r="128">
      <c r="A128" t="inlineStr">
        <is>
          <t>R_STSda_ROI</t>
        </is>
      </c>
      <c r="B128" t="n">
        <v>-0.515</v>
      </c>
      <c r="C128" t="n">
        <v>1150</v>
      </c>
      <c r="D128" t="inlineStr">
        <is>
          <t>&lt; .001</t>
        </is>
      </c>
      <c r="E128" t="inlineStr">
        <is>
          <t>[-0.556, -0.471]</t>
        </is>
      </c>
      <c r="F128" t="inlineStr">
        <is>
          <t>&lt; .001</t>
        </is>
      </c>
      <c r="G128" t="inlineStr">
        <is>
          <t>✓</t>
        </is>
      </c>
    </row>
    <row r="129">
      <c r="A129" t="inlineStr">
        <is>
          <t>R_STSdp_ROI</t>
        </is>
      </c>
      <c r="B129" t="n">
        <v>-0.641</v>
      </c>
      <c r="C129" t="n">
        <v>1150</v>
      </c>
      <c r="D129" t="inlineStr">
        <is>
          <t>&lt; .001</t>
        </is>
      </c>
      <c r="E129" t="inlineStr">
        <is>
          <t>[-0.674, -0.606]</t>
        </is>
      </c>
      <c r="F129" t="inlineStr">
        <is>
          <t>&lt; .001</t>
        </is>
      </c>
      <c r="G129" t="inlineStr">
        <is>
          <t>✓</t>
        </is>
      </c>
    </row>
    <row r="130">
      <c r="A130" t="inlineStr">
        <is>
          <t>R_STSvp_ROI</t>
        </is>
      </c>
      <c r="B130" t="n">
        <v>-0.571</v>
      </c>
      <c r="C130" t="n">
        <v>1150</v>
      </c>
      <c r="D130" t="inlineStr">
        <is>
          <t>&lt; .001</t>
        </is>
      </c>
      <c r="E130" t="inlineStr">
        <is>
          <t>[-0.608, -0.530]</t>
        </is>
      </c>
      <c r="F130" t="inlineStr">
        <is>
          <t>&lt; .001</t>
        </is>
      </c>
      <c r="G130" t="inlineStr">
        <is>
          <t>✓</t>
        </is>
      </c>
    </row>
    <row r="131">
      <c r="A131" t="inlineStr">
        <is>
          <t>R_TGd_ROI</t>
        </is>
      </c>
      <c r="B131" t="n">
        <v>-0.569</v>
      </c>
      <c r="C131" t="n">
        <v>1150</v>
      </c>
      <c r="D131" t="inlineStr">
        <is>
          <t>&lt; .001</t>
        </is>
      </c>
      <c r="E131" t="inlineStr">
        <is>
          <t>[-0.607, -0.528]</t>
        </is>
      </c>
      <c r="F131" t="inlineStr">
        <is>
          <t>&lt; .001</t>
        </is>
      </c>
      <c r="G131" t="inlineStr">
        <is>
          <t>✓</t>
        </is>
      </c>
    </row>
    <row r="132">
      <c r="A132" t="inlineStr">
        <is>
          <t>R_TE1a_ROI</t>
        </is>
      </c>
      <c r="B132" t="n">
        <v>-0.438</v>
      </c>
      <c r="C132" t="n">
        <v>1150</v>
      </c>
      <c r="D132" t="inlineStr">
        <is>
          <t>&lt; .001</t>
        </is>
      </c>
      <c r="E132" t="inlineStr">
        <is>
          <t>[-0.484, -0.390]</t>
        </is>
      </c>
      <c r="F132" t="inlineStr">
        <is>
          <t>&lt; .001</t>
        </is>
      </c>
      <c r="G132" t="inlineStr">
        <is>
          <t>✓</t>
        </is>
      </c>
    </row>
    <row r="133">
      <c r="A133" t="inlineStr">
        <is>
          <t>R_TE1p_ROI</t>
        </is>
      </c>
      <c r="B133" t="n">
        <v>-0.596</v>
      </c>
      <c r="C133" t="n">
        <v>1150</v>
      </c>
      <c r="D133" t="inlineStr">
        <is>
          <t>&lt; .001</t>
        </is>
      </c>
      <c r="E133" t="inlineStr">
        <is>
          <t>[-0.632, -0.557]</t>
        </is>
      </c>
      <c r="F133" t="inlineStr">
        <is>
          <t>&lt; .001</t>
        </is>
      </c>
      <c r="G133" t="inlineStr">
        <is>
          <t>✓</t>
        </is>
      </c>
    </row>
    <row r="134">
      <c r="A134" t="inlineStr">
        <is>
          <t>R_TE2a_ROI</t>
        </is>
      </c>
      <c r="B134" t="n">
        <v>-0.396</v>
      </c>
      <c r="C134" t="n">
        <v>1150</v>
      </c>
      <c r="D134" t="inlineStr">
        <is>
          <t>&lt; .001</t>
        </is>
      </c>
      <c r="E134" t="inlineStr">
        <is>
          <t>[-0.444, -0.346]</t>
        </is>
      </c>
      <c r="F134" t="inlineStr">
        <is>
          <t>&lt; .001</t>
        </is>
      </c>
      <c r="G134" t="inlineStr">
        <is>
          <t>✓</t>
        </is>
      </c>
    </row>
    <row r="135">
      <c r="A135" t="inlineStr">
        <is>
          <t>R_TF_ROI</t>
        </is>
      </c>
      <c r="B135" t="n">
        <v>-0.484</v>
      </c>
      <c r="C135" t="n">
        <v>1150</v>
      </c>
      <c r="D135" t="inlineStr">
        <is>
          <t>&lt; .001</t>
        </is>
      </c>
      <c r="E135" t="inlineStr">
        <is>
          <t>[-0.527, -0.438]</t>
        </is>
      </c>
      <c r="F135" t="inlineStr">
        <is>
          <t>&lt; .001</t>
        </is>
      </c>
      <c r="G135" t="inlineStr">
        <is>
          <t>✓</t>
        </is>
      </c>
    </row>
    <row r="136">
      <c r="A136" t="inlineStr">
        <is>
          <t>R_TE2p_ROI</t>
        </is>
      </c>
      <c r="B136" t="n">
        <v>-0.404</v>
      </c>
      <c r="C136" t="n">
        <v>1150</v>
      </c>
      <c r="D136" t="inlineStr">
        <is>
          <t>&lt; .001</t>
        </is>
      </c>
      <c r="E136" t="inlineStr">
        <is>
          <t>[-0.452, -0.355]</t>
        </is>
      </c>
      <c r="F136" t="inlineStr">
        <is>
          <t>&lt; .001</t>
        </is>
      </c>
      <c r="G136" t="inlineStr">
        <is>
          <t>✓</t>
        </is>
      </c>
    </row>
    <row r="137">
      <c r="A137" t="inlineStr">
        <is>
          <t>R_PHT_ROI</t>
        </is>
      </c>
      <c r="B137" t="n">
        <v>-0.506</v>
      </c>
      <c r="C137" t="n">
        <v>1150</v>
      </c>
      <c r="D137" t="inlineStr">
        <is>
          <t>&lt; .001</t>
        </is>
      </c>
      <c r="E137" t="inlineStr">
        <is>
          <t>[-0.548, -0.461]</t>
        </is>
      </c>
      <c r="F137" t="inlineStr">
        <is>
          <t>&lt; .001</t>
        </is>
      </c>
      <c r="G137" t="inlineStr">
        <is>
          <t>✓</t>
        </is>
      </c>
    </row>
    <row r="138">
      <c r="A138" t="inlineStr">
        <is>
          <t>R_PH_ROI</t>
        </is>
      </c>
      <c r="B138" t="n">
        <v>-0.437</v>
      </c>
      <c r="C138" t="n">
        <v>1150</v>
      </c>
      <c r="D138" t="inlineStr">
        <is>
          <t>&lt; .001</t>
        </is>
      </c>
      <c r="E138" t="inlineStr">
        <is>
          <t>[-0.482, -0.389]</t>
        </is>
      </c>
      <c r="F138" t="inlineStr">
        <is>
          <t>&lt; .001</t>
        </is>
      </c>
      <c r="G138" t="inlineStr">
        <is>
          <t>✓</t>
        </is>
      </c>
    </row>
    <row r="139">
      <c r="A139" t="inlineStr">
        <is>
          <t>R_TPOJ1_ROI</t>
        </is>
      </c>
      <c r="B139" t="n">
        <v>-0.666</v>
      </c>
      <c r="C139" t="n">
        <v>1150</v>
      </c>
      <c r="D139" t="inlineStr">
        <is>
          <t>&lt; .001</t>
        </is>
      </c>
      <c r="E139" t="inlineStr">
        <is>
          <t>[-0.697, -0.632]</t>
        </is>
      </c>
      <c r="F139" t="inlineStr">
        <is>
          <t>&lt; .001</t>
        </is>
      </c>
      <c r="G139" t="inlineStr">
        <is>
          <t>✓</t>
        </is>
      </c>
    </row>
    <row r="140">
      <c r="A140" t="inlineStr">
        <is>
          <t>R_TPOJ2_ROI</t>
        </is>
      </c>
      <c r="B140" t="n">
        <v>-0.569</v>
      </c>
      <c r="C140" t="n">
        <v>1150</v>
      </c>
      <c r="D140" t="inlineStr">
        <is>
          <t>&lt; .001</t>
        </is>
      </c>
      <c r="E140" t="inlineStr">
        <is>
          <t>[-0.607, -0.529]</t>
        </is>
      </c>
      <c r="F140" t="inlineStr">
        <is>
          <t>&lt; .001</t>
        </is>
      </c>
      <c r="G140" t="inlineStr">
        <is>
          <t>✓</t>
        </is>
      </c>
    </row>
    <row r="141">
      <c r="A141" t="inlineStr">
        <is>
          <t>R_TPOJ3_ROI</t>
        </is>
      </c>
      <c r="B141" t="n">
        <v>-0.535</v>
      </c>
      <c r="C141" t="n">
        <v>1150</v>
      </c>
      <c r="D141" t="inlineStr">
        <is>
          <t>&lt; .001</t>
        </is>
      </c>
      <c r="E141" t="inlineStr">
        <is>
          <t>[-0.575, -0.493]</t>
        </is>
      </c>
      <c r="F141" t="inlineStr">
        <is>
          <t>&lt; .001</t>
        </is>
      </c>
      <c r="G141" t="inlineStr">
        <is>
          <t>✓</t>
        </is>
      </c>
    </row>
    <row r="142">
      <c r="A142" t="inlineStr">
        <is>
          <t>R_DVT_ROI</t>
        </is>
      </c>
      <c r="B142" t="n">
        <v>-0.632</v>
      </c>
      <c r="C142" t="n">
        <v>1150</v>
      </c>
      <c r="D142" t="inlineStr">
        <is>
          <t>&lt; .001</t>
        </is>
      </c>
      <c r="E142" t="inlineStr">
        <is>
          <t>[-0.665, -0.596]</t>
        </is>
      </c>
      <c r="F142" t="inlineStr">
        <is>
          <t>&lt; .001</t>
        </is>
      </c>
      <c r="G142" t="inlineStr">
        <is>
          <t>✓</t>
        </is>
      </c>
    </row>
    <row r="143">
      <c r="A143" t="inlineStr">
        <is>
          <t>R_PGp_ROI</t>
        </is>
      </c>
      <c r="B143" t="n">
        <v>-0.575</v>
      </c>
      <c r="C143" t="n">
        <v>1150</v>
      </c>
      <c r="D143" t="inlineStr">
        <is>
          <t>&lt; .001</t>
        </is>
      </c>
      <c r="E143" t="inlineStr">
        <is>
          <t>[-0.613, -0.535]</t>
        </is>
      </c>
      <c r="F143" t="inlineStr">
        <is>
          <t>&lt; .001</t>
        </is>
      </c>
      <c r="G143" t="inlineStr">
        <is>
          <t>✓</t>
        </is>
      </c>
    </row>
    <row r="144">
      <c r="A144" t="inlineStr">
        <is>
          <t>R_IP2_ROI</t>
        </is>
      </c>
      <c r="B144" t="n">
        <v>-0.619</v>
      </c>
      <c r="C144" t="n">
        <v>1150</v>
      </c>
      <c r="D144" t="inlineStr">
        <is>
          <t>&lt; .001</t>
        </is>
      </c>
      <c r="E144" t="inlineStr">
        <is>
          <t>[-0.653, -0.582]</t>
        </is>
      </c>
      <c r="F144" t="inlineStr">
        <is>
          <t>&lt; .001</t>
        </is>
      </c>
      <c r="G144" t="inlineStr">
        <is>
          <t>✓</t>
        </is>
      </c>
    </row>
    <row r="145">
      <c r="A145" t="inlineStr">
        <is>
          <t>R_IP1_ROI</t>
        </is>
      </c>
      <c r="B145" t="n">
        <v>-0.608</v>
      </c>
      <c r="C145" t="n">
        <v>1150</v>
      </c>
      <c r="D145" t="inlineStr">
        <is>
          <t>&lt; .001</t>
        </is>
      </c>
      <c r="E145" t="inlineStr">
        <is>
          <t>[-0.643, -0.570]</t>
        </is>
      </c>
      <c r="F145" t="inlineStr">
        <is>
          <t>&lt; .001</t>
        </is>
      </c>
      <c r="G145" t="inlineStr">
        <is>
          <t>✓</t>
        </is>
      </c>
    </row>
    <row r="146">
      <c r="A146" t="inlineStr">
        <is>
          <t>R_IP0_ROI</t>
        </is>
      </c>
      <c r="B146" t="n">
        <v>-0.537</v>
      </c>
      <c r="C146" t="n">
        <v>1150</v>
      </c>
      <c r="D146" t="inlineStr">
        <is>
          <t>&lt; .001</t>
        </is>
      </c>
      <c r="E146" t="inlineStr">
        <is>
          <t>[-0.577, -0.495]</t>
        </is>
      </c>
      <c r="F146" t="inlineStr">
        <is>
          <t>&lt; .001</t>
        </is>
      </c>
      <c r="G146" t="inlineStr">
        <is>
          <t>✓</t>
        </is>
      </c>
    </row>
    <row r="147">
      <c r="A147" t="inlineStr">
        <is>
          <t>R_PFop_ROI</t>
        </is>
      </c>
      <c r="B147" t="n">
        <v>-0.543</v>
      </c>
      <c r="C147" t="n">
        <v>1150</v>
      </c>
      <c r="D147" t="inlineStr">
        <is>
          <t>&lt; .001</t>
        </is>
      </c>
      <c r="E147" t="inlineStr">
        <is>
          <t>[-0.582, -0.500]</t>
        </is>
      </c>
      <c r="F147" t="inlineStr">
        <is>
          <t>&lt; .001</t>
        </is>
      </c>
      <c r="G147" t="inlineStr">
        <is>
          <t>✓</t>
        </is>
      </c>
    </row>
    <row r="148">
      <c r="A148" t="inlineStr">
        <is>
          <t>R_PF_ROI</t>
        </is>
      </c>
      <c r="B148" t="n">
        <v>-0.628</v>
      </c>
      <c r="C148" t="n">
        <v>1150</v>
      </c>
      <c r="D148" t="inlineStr">
        <is>
          <t>&lt; .001</t>
        </is>
      </c>
      <c r="E148" t="inlineStr">
        <is>
          <t>[-0.661, -0.591]</t>
        </is>
      </c>
      <c r="F148" t="inlineStr">
        <is>
          <t>&lt; .001</t>
        </is>
      </c>
      <c r="G148" t="inlineStr">
        <is>
          <t>✓</t>
        </is>
      </c>
    </row>
    <row r="149">
      <c r="A149" t="inlineStr">
        <is>
          <t>R_PFm_ROI</t>
        </is>
      </c>
      <c r="B149" t="n">
        <v>-0.6860000000000001</v>
      </c>
      <c r="C149" t="n">
        <v>1150</v>
      </c>
      <c r="D149" t="inlineStr">
        <is>
          <t>&lt; .001</t>
        </is>
      </c>
      <c r="E149" t="inlineStr">
        <is>
          <t>[-0.715, -0.654]</t>
        </is>
      </c>
      <c r="F149" t="inlineStr">
        <is>
          <t>&lt; .001</t>
        </is>
      </c>
      <c r="G149" t="inlineStr">
        <is>
          <t>✓</t>
        </is>
      </c>
    </row>
    <row r="150">
      <c r="A150" t="inlineStr">
        <is>
          <t>R_PGi_ROI</t>
        </is>
      </c>
      <c r="B150" t="n">
        <v>-0.648</v>
      </c>
      <c r="C150" t="n">
        <v>1150</v>
      </c>
      <c r="D150" t="inlineStr">
        <is>
          <t>&lt; .001</t>
        </is>
      </c>
      <c r="E150" t="inlineStr">
        <is>
          <t>[-0.681, -0.613]</t>
        </is>
      </c>
      <c r="F150" t="inlineStr">
        <is>
          <t>&lt; .001</t>
        </is>
      </c>
      <c r="G150" t="inlineStr">
        <is>
          <t>✓</t>
        </is>
      </c>
    </row>
    <row r="151">
      <c r="A151" t="inlineStr">
        <is>
          <t>R_PGs_ROI</t>
        </is>
      </c>
      <c r="B151" t="n">
        <v>-0.636</v>
      </c>
      <c r="C151" t="n">
        <v>1150</v>
      </c>
      <c r="D151" t="inlineStr">
        <is>
          <t>&lt; .001</t>
        </is>
      </c>
      <c r="E151" t="inlineStr">
        <is>
          <t>[-0.669, -0.600]</t>
        </is>
      </c>
      <c r="F151" t="inlineStr">
        <is>
          <t>&lt; .001</t>
        </is>
      </c>
      <c r="G151" t="inlineStr">
        <is>
          <t>✓</t>
        </is>
      </c>
    </row>
    <row r="152">
      <c r="A152" t="inlineStr">
        <is>
          <t>R_V6A_ROI</t>
        </is>
      </c>
      <c r="B152" t="n">
        <v>-0.425</v>
      </c>
      <c r="C152" t="n">
        <v>1150</v>
      </c>
      <c r="D152" t="inlineStr">
        <is>
          <t>&lt; .001</t>
        </is>
      </c>
      <c r="E152" t="inlineStr">
        <is>
          <t>[-0.472, -0.377]</t>
        </is>
      </c>
      <c r="F152" t="inlineStr">
        <is>
          <t>&lt; .001</t>
        </is>
      </c>
      <c r="G152" t="inlineStr">
        <is>
          <t>✓</t>
        </is>
      </c>
    </row>
    <row r="153">
      <c r="A153" t="inlineStr">
        <is>
          <t>R_VMV1_ROI</t>
        </is>
      </c>
      <c r="B153" t="n">
        <v>-0.376</v>
      </c>
      <c r="C153" t="n">
        <v>1150</v>
      </c>
      <c r="D153" t="inlineStr">
        <is>
          <t>&lt; .001</t>
        </is>
      </c>
      <c r="E153" t="inlineStr">
        <is>
          <t>[-0.424, -0.325]</t>
        </is>
      </c>
      <c r="F153" t="inlineStr">
        <is>
          <t>&lt; .001</t>
        </is>
      </c>
      <c r="G153" t="inlineStr">
        <is>
          <t>✓</t>
        </is>
      </c>
    </row>
    <row r="154">
      <c r="A154" t="inlineStr">
        <is>
          <t>R_VMV3_ROI</t>
        </is>
      </c>
      <c r="B154" t="n">
        <v>-0.396</v>
      </c>
      <c r="C154" t="n">
        <v>1150</v>
      </c>
      <c r="D154" t="inlineStr">
        <is>
          <t>&lt; .001</t>
        </is>
      </c>
      <c r="E154" t="inlineStr">
        <is>
          <t>[-0.443, -0.346]</t>
        </is>
      </c>
      <c r="F154" t="inlineStr">
        <is>
          <t>&lt; .001</t>
        </is>
      </c>
      <c r="G154" t="inlineStr">
        <is>
          <t>✓</t>
        </is>
      </c>
    </row>
    <row r="155">
      <c r="A155" t="inlineStr">
        <is>
          <t>R_PHA2_ROI</t>
        </is>
      </c>
      <c r="B155" t="n">
        <v>-0.429</v>
      </c>
      <c r="C155" t="n">
        <v>1150</v>
      </c>
      <c r="D155" t="inlineStr">
        <is>
          <t>&lt; .001</t>
        </is>
      </c>
      <c r="E155" t="inlineStr">
        <is>
          <t>[-0.475, -0.381]</t>
        </is>
      </c>
      <c r="F155" t="inlineStr">
        <is>
          <t>&lt; .001</t>
        </is>
      </c>
      <c r="G155" t="inlineStr">
        <is>
          <t>✓</t>
        </is>
      </c>
    </row>
    <row r="156">
      <c r="A156" t="inlineStr">
        <is>
          <t>R_V4t_ROI</t>
        </is>
      </c>
      <c r="B156" t="n">
        <v>-0.341</v>
      </c>
      <c r="C156" t="n">
        <v>1150</v>
      </c>
      <c r="D156" t="inlineStr">
        <is>
          <t>&lt; .001</t>
        </is>
      </c>
      <c r="E156" t="inlineStr">
        <is>
          <t>[-0.391, -0.289]</t>
        </is>
      </c>
      <c r="F156" t="inlineStr">
        <is>
          <t>&lt; .001</t>
        </is>
      </c>
      <c r="G156" t="inlineStr">
        <is>
          <t>✓</t>
        </is>
      </c>
    </row>
    <row r="157">
      <c r="A157" t="inlineStr">
        <is>
          <t>R_FST_ROI</t>
        </is>
      </c>
      <c r="B157" t="n">
        <v>-0.471</v>
      </c>
      <c r="C157" t="n">
        <v>1150</v>
      </c>
      <c r="D157" t="inlineStr">
        <is>
          <t>&lt; .001</t>
        </is>
      </c>
      <c r="E157" t="inlineStr">
        <is>
          <t>[-0.515, -0.425]</t>
        </is>
      </c>
      <c r="F157" t="inlineStr">
        <is>
          <t>&lt; .001</t>
        </is>
      </c>
      <c r="G157" t="inlineStr">
        <is>
          <t>✓</t>
        </is>
      </c>
    </row>
    <row r="158">
      <c r="A158" t="inlineStr">
        <is>
          <t>R_V3CD_ROI</t>
        </is>
      </c>
      <c r="B158" t="n">
        <v>-0.528</v>
      </c>
      <c r="C158" t="n">
        <v>1150</v>
      </c>
      <c r="D158" t="inlineStr">
        <is>
          <t>&lt; .001</t>
        </is>
      </c>
      <c r="E158" t="inlineStr">
        <is>
          <t>[-0.568, -0.485]</t>
        </is>
      </c>
      <c r="F158" t="inlineStr">
        <is>
          <t>&lt; .001</t>
        </is>
      </c>
      <c r="G158" t="inlineStr">
        <is>
          <t>✓</t>
        </is>
      </c>
    </row>
    <row r="159">
      <c r="A159" t="inlineStr">
        <is>
          <t>R_LO3_ROI</t>
        </is>
      </c>
      <c r="B159" t="n">
        <v>-0.487</v>
      </c>
      <c r="C159" t="n">
        <v>1150</v>
      </c>
      <c r="D159" t="inlineStr">
        <is>
          <t>&lt; .001</t>
        </is>
      </c>
      <c r="E159" t="inlineStr">
        <is>
          <t>[-0.530, -0.442]</t>
        </is>
      </c>
      <c r="F159" t="inlineStr">
        <is>
          <t>&lt; .001</t>
        </is>
      </c>
      <c r="G159" t="inlineStr">
        <is>
          <t>✓</t>
        </is>
      </c>
    </row>
    <row r="160">
      <c r="A160" t="inlineStr">
        <is>
          <t>R_VMV2_ROI</t>
        </is>
      </c>
      <c r="B160" t="n">
        <v>-0.582</v>
      </c>
      <c r="C160" t="n">
        <v>1150</v>
      </c>
      <c r="D160" t="inlineStr">
        <is>
          <t>&lt; .001</t>
        </is>
      </c>
      <c r="E160" t="inlineStr">
        <is>
          <t>[-0.619, -0.543]</t>
        </is>
      </c>
      <c r="F160" t="inlineStr">
        <is>
          <t>&lt; .001</t>
        </is>
      </c>
      <c r="G160" t="inlineStr">
        <is>
          <t>✓</t>
        </is>
      </c>
    </row>
    <row r="161">
      <c r="A161" t="inlineStr">
        <is>
          <t>R_31pd_ROI</t>
        </is>
      </c>
      <c r="B161" t="n">
        <v>-0.509</v>
      </c>
      <c r="C161" t="n">
        <v>1150</v>
      </c>
      <c r="D161" t="inlineStr">
        <is>
          <t>&lt; .001</t>
        </is>
      </c>
      <c r="E161" t="inlineStr">
        <is>
          <t>[-0.551, -0.465]</t>
        </is>
      </c>
      <c r="F161" t="inlineStr">
        <is>
          <t>&lt; .001</t>
        </is>
      </c>
      <c r="G161" t="inlineStr">
        <is>
          <t>✓</t>
        </is>
      </c>
    </row>
    <row r="162">
      <c r="A162" t="inlineStr">
        <is>
          <t>R_31a_ROI</t>
        </is>
      </c>
      <c r="B162" t="n">
        <v>-0.386</v>
      </c>
      <c r="C162" t="n">
        <v>1150</v>
      </c>
      <c r="D162" t="inlineStr">
        <is>
          <t>&lt; .001</t>
        </is>
      </c>
      <c r="E162" t="inlineStr">
        <is>
          <t>[-0.434, -0.335]</t>
        </is>
      </c>
      <c r="F162" t="inlineStr">
        <is>
          <t>&lt; .001</t>
        </is>
      </c>
      <c r="G162" t="inlineStr">
        <is>
          <t>✓</t>
        </is>
      </c>
    </row>
    <row r="163">
      <c r="A163" t="inlineStr">
        <is>
          <t>R_VVC_ROI</t>
        </is>
      </c>
      <c r="B163" t="n">
        <v>-0.42</v>
      </c>
      <c r="C163" t="n">
        <v>1150</v>
      </c>
      <c r="D163" t="inlineStr">
        <is>
          <t>&lt; .001</t>
        </is>
      </c>
      <c r="E163" t="inlineStr">
        <is>
          <t>[-0.467, -0.371]</t>
        </is>
      </c>
      <c r="F163" t="inlineStr">
        <is>
          <t>&lt; .001</t>
        </is>
      </c>
      <c r="G163" t="inlineStr">
        <is>
          <t>✓</t>
        </is>
      </c>
    </row>
    <row r="164">
      <c r="A164" t="inlineStr">
        <is>
          <t>R_25_ROI</t>
        </is>
      </c>
      <c r="B164" t="n">
        <v>-0.26</v>
      </c>
      <c r="C164" t="n">
        <v>1150</v>
      </c>
      <c r="D164" t="inlineStr">
        <is>
          <t>&lt; .001</t>
        </is>
      </c>
      <c r="E164" t="inlineStr">
        <is>
          <t>[-0.313, -0.205]</t>
        </is>
      </c>
      <c r="F164" t="inlineStr">
        <is>
          <t>&lt; .001</t>
        </is>
      </c>
      <c r="G164" t="inlineStr">
        <is>
          <t>✓</t>
        </is>
      </c>
    </row>
    <row r="165">
      <c r="A165" t="inlineStr">
        <is>
          <t>R_s32_ROI</t>
        </is>
      </c>
      <c r="B165" t="n">
        <v>0.225</v>
      </c>
      <c r="C165" t="n">
        <v>1150</v>
      </c>
      <c r="D165" t="inlineStr">
        <is>
          <t>&lt; .001</t>
        </is>
      </c>
      <c r="E165" t="inlineStr">
        <is>
          <t>[0.169, 0.279]</t>
        </is>
      </c>
      <c r="F165" t="inlineStr">
        <is>
          <t>&lt; .001</t>
        </is>
      </c>
      <c r="G165" t="inlineStr">
        <is>
          <t>✓</t>
        </is>
      </c>
    </row>
    <row r="166">
      <c r="A166" t="inlineStr">
        <is>
          <t>R_pOFC_ROI</t>
        </is>
      </c>
      <c r="B166" t="n">
        <v>-0.297</v>
      </c>
      <c r="C166" t="n">
        <v>1150</v>
      </c>
      <c r="D166" t="inlineStr">
        <is>
          <t>&lt; .001</t>
        </is>
      </c>
      <c r="E166" t="inlineStr">
        <is>
          <t>[-0.349, -0.243]</t>
        </is>
      </c>
      <c r="F166" t="inlineStr">
        <is>
          <t>&lt; .001</t>
        </is>
      </c>
      <c r="G166" t="inlineStr">
        <is>
          <t>✓</t>
        </is>
      </c>
    </row>
    <row r="167">
      <c r="A167" t="inlineStr">
        <is>
          <t>R_PoI1_ROI</t>
        </is>
      </c>
      <c r="B167" t="n">
        <v>-0.392</v>
      </c>
      <c r="C167" t="n">
        <v>1150</v>
      </c>
      <c r="D167" t="inlineStr">
        <is>
          <t>&lt; .001</t>
        </is>
      </c>
      <c r="E167" t="inlineStr">
        <is>
          <t>[-0.440, -0.342]</t>
        </is>
      </c>
      <c r="F167" t="inlineStr">
        <is>
          <t>&lt; .001</t>
        </is>
      </c>
      <c r="G167" t="inlineStr">
        <is>
          <t>✓</t>
        </is>
      </c>
    </row>
    <row r="168">
      <c r="A168" t="inlineStr">
        <is>
          <t>R_Ig_ROI</t>
        </is>
      </c>
      <c r="B168" t="n">
        <v>-0.478</v>
      </c>
      <c r="C168" t="n">
        <v>1150</v>
      </c>
      <c r="D168" t="inlineStr">
        <is>
          <t>&lt; .001</t>
        </is>
      </c>
      <c r="E168" t="inlineStr">
        <is>
          <t>[-0.522, -0.432]</t>
        </is>
      </c>
      <c r="F168" t="inlineStr">
        <is>
          <t>&lt; .001</t>
        </is>
      </c>
      <c r="G168" t="inlineStr">
        <is>
          <t>✓</t>
        </is>
      </c>
    </row>
    <row r="169">
      <c r="A169" t="inlineStr">
        <is>
          <t>R_FOP5_ROI</t>
        </is>
      </c>
      <c r="B169" t="n">
        <v>-0.623</v>
      </c>
      <c r="C169" t="n">
        <v>1150</v>
      </c>
      <c r="D169" t="inlineStr">
        <is>
          <t>&lt; .001</t>
        </is>
      </c>
      <c r="E169" t="inlineStr">
        <is>
          <t>[-0.657, -0.587]</t>
        </is>
      </c>
      <c r="F169" t="inlineStr">
        <is>
          <t>&lt; .001</t>
        </is>
      </c>
      <c r="G169" t="inlineStr">
        <is>
          <t>✓</t>
        </is>
      </c>
    </row>
    <row r="170">
      <c r="A170" t="inlineStr">
        <is>
          <t>R_p10p_ROI</t>
        </is>
      </c>
      <c r="B170" t="n">
        <v>-0.429</v>
      </c>
      <c r="C170" t="n">
        <v>1150</v>
      </c>
      <c r="D170" t="inlineStr">
        <is>
          <t>&lt; .001</t>
        </is>
      </c>
      <c r="E170" t="inlineStr">
        <is>
          <t>[-0.475, -0.380]</t>
        </is>
      </c>
      <c r="F170" t="inlineStr">
        <is>
          <t>&lt; .001</t>
        </is>
      </c>
      <c r="G170" t="inlineStr">
        <is>
          <t>✓</t>
        </is>
      </c>
    </row>
    <row r="171">
      <c r="A171" t="inlineStr">
        <is>
          <t>R_p47r_ROI</t>
        </is>
      </c>
      <c r="B171" t="n">
        <v>-0.494</v>
      </c>
      <c r="C171" t="n">
        <v>1150</v>
      </c>
      <c r="D171" t="inlineStr">
        <is>
          <t>&lt; .001</t>
        </is>
      </c>
      <c r="E171" t="inlineStr">
        <is>
          <t>[-0.537, -0.449]</t>
        </is>
      </c>
      <c r="F171" t="inlineStr">
        <is>
          <t>&lt; .001</t>
        </is>
      </c>
      <c r="G171" t="inlineStr">
        <is>
          <t>✓</t>
        </is>
      </c>
    </row>
    <row r="172">
      <c r="A172" t="inlineStr">
        <is>
          <t>R_TGv_ROI</t>
        </is>
      </c>
      <c r="B172" t="n">
        <v>-0.331</v>
      </c>
      <c r="C172" t="n">
        <v>1150</v>
      </c>
      <c r="D172" t="inlineStr">
        <is>
          <t>&lt; .001</t>
        </is>
      </c>
      <c r="E172" t="inlineStr">
        <is>
          <t>[-0.381, -0.278]</t>
        </is>
      </c>
      <c r="F172" t="inlineStr">
        <is>
          <t>&lt; .001</t>
        </is>
      </c>
      <c r="G172" t="inlineStr">
        <is>
          <t>✓</t>
        </is>
      </c>
    </row>
    <row r="173">
      <c r="A173" t="inlineStr">
        <is>
          <t>R_MBelt_ROI</t>
        </is>
      </c>
      <c r="B173" t="n">
        <v>-0.59</v>
      </c>
      <c r="C173" t="n">
        <v>1150</v>
      </c>
      <c r="D173" t="inlineStr">
        <is>
          <t>&lt; .001</t>
        </is>
      </c>
      <c r="E173" t="inlineStr">
        <is>
          <t>[-0.627, -0.551]</t>
        </is>
      </c>
      <c r="F173" t="inlineStr">
        <is>
          <t>&lt; .001</t>
        </is>
      </c>
      <c r="G173" t="inlineStr">
        <is>
          <t>✓</t>
        </is>
      </c>
    </row>
    <row r="174">
      <c r="A174" t="inlineStr">
        <is>
          <t>R_LBelt_ROI</t>
        </is>
      </c>
      <c r="B174" t="n">
        <v>-0.635</v>
      </c>
      <c r="C174" t="n">
        <v>1150</v>
      </c>
      <c r="D174" t="inlineStr">
        <is>
          <t>&lt; .001</t>
        </is>
      </c>
      <c r="E174" t="inlineStr">
        <is>
          <t>[-0.668, -0.599]</t>
        </is>
      </c>
      <c r="F174" t="inlineStr">
        <is>
          <t>&lt; .001</t>
        </is>
      </c>
      <c r="G174" t="inlineStr">
        <is>
          <t>✓</t>
        </is>
      </c>
    </row>
    <row r="175">
      <c r="A175" t="inlineStr">
        <is>
          <t>R_A4_ROI</t>
        </is>
      </c>
      <c r="B175" t="n">
        <v>-0.623</v>
      </c>
      <c r="C175" t="n">
        <v>1150</v>
      </c>
      <c r="D175" t="inlineStr">
        <is>
          <t>&lt; .001</t>
        </is>
      </c>
      <c r="E175" t="inlineStr">
        <is>
          <t>[-0.658, -0.587]</t>
        </is>
      </c>
      <c r="F175" t="inlineStr">
        <is>
          <t>&lt; .001</t>
        </is>
      </c>
      <c r="G175" t="inlineStr">
        <is>
          <t>✓</t>
        </is>
      </c>
    </row>
    <row r="176">
      <c r="A176" t="inlineStr">
        <is>
          <t>R_STSva_ROI</t>
        </is>
      </c>
      <c r="B176" t="n">
        <v>-0.449</v>
      </c>
      <c r="C176" t="n">
        <v>1150</v>
      </c>
      <c r="D176" t="inlineStr">
        <is>
          <t>&lt; .001</t>
        </is>
      </c>
      <c r="E176" t="inlineStr">
        <is>
          <t>[-0.494, -0.402]</t>
        </is>
      </c>
      <c r="F176" t="inlineStr">
        <is>
          <t>&lt; .001</t>
        </is>
      </c>
      <c r="G176" t="inlineStr">
        <is>
          <t>✓</t>
        </is>
      </c>
    </row>
    <row r="177">
      <c r="A177" t="inlineStr">
        <is>
          <t>R_TE1m_ROI</t>
        </is>
      </c>
      <c r="B177" t="n">
        <v>-0.437</v>
      </c>
      <c r="C177" t="n">
        <v>1150</v>
      </c>
      <c r="D177" t="inlineStr">
        <is>
          <t>&lt; .001</t>
        </is>
      </c>
      <c r="E177" t="inlineStr">
        <is>
          <t>[-0.483, -0.389]</t>
        </is>
      </c>
      <c r="F177" t="inlineStr">
        <is>
          <t>&lt; .001</t>
        </is>
      </c>
      <c r="G177" t="inlineStr">
        <is>
          <t>✓</t>
        </is>
      </c>
    </row>
    <row r="178">
      <c r="A178" t="inlineStr">
        <is>
          <t>R_PI_ROI</t>
        </is>
      </c>
      <c r="B178" t="n">
        <v>-0.525</v>
      </c>
      <c r="C178" t="n">
        <v>1150</v>
      </c>
      <c r="D178" t="inlineStr">
        <is>
          <t>&lt; .001</t>
        </is>
      </c>
      <c r="E178" t="inlineStr">
        <is>
          <t>[-0.566, -0.482]</t>
        </is>
      </c>
      <c r="F178" t="inlineStr">
        <is>
          <t>&lt; .001</t>
        </is>
      </c>
      <c r="G178" t="inlineStr">
        <is>
          <t>✓</t>
        </is>
      </c>
    </row>
    <row r="179">
      <c r="A179" t="inlineStr">
        <is>
          <t>R_a32pr_ROI</t>
        </is>
      </c>
      <c r="B179" t="n">
        <v>-0.59</v>
      </c>
      <c r="C179" t="n">
        <v>1150</v>
      </c>
      <c r="D179" t="inlineStr">
        <is>
          <t>&lt; .001</t>
        </is>
      </c>
      <c r="E179" t="inlineStr">
        <is>
          <t>[-0.626, -0.551]</t>
        </is>
      </c>
      <c r="F179" t="inlineStr">
        <is>
          <t>&lt; .001</t>
        </is>
      </c>
      <c r="G179" t="inlineStr">
        <is>
          <t>✓</t>
        </is>
      </c>
    </row>
    <row r="180">
      <c r="A180" t="inlineStr">
        <is>
          <t>R_p24_ROI</t>
        </is>
      </c>
      <c r="B180" t="n">
        <v>-0.216</v>
      </c>
      <c r="C180" t="n">
        <v>1150</v>
      </c>
      <c r="D180" t="inlineStr">
        <is>
          <t>&lt; .001</t>
        </is>
      </c>
      <c r="E180" t="inlineStr">
        <is>
          <t>[-0.271, -0.160]</t>
        </is>
      </c>
      <c r="F180" t="inlineStr">
        <is>
          <t>&lt; .001</t>
        </is>
      </c>
      <c r="G180" t="inlineStr">
        <is>
          <t>✓</t>
        </is>
      </c>
    </row>
    <row r="181">
      <c r="A181" t="inlineStr">
        <is>
          <t>L_V1_ROI</t>
        </is>
      </c>
      <c r="B181" t="n">
        <v>-0.581</v>
      </c>
      <c r="C181" t="n">
        <v>1150</v>
      </c>
      <c r="D181" t="inlineStr">
        <is>
          <t>&lt; .001</t>
        </is>
      </c>
      <c r="E181" t="inlineStr">
        <is>
          <t>[-0.618, -0.541]</t>
        </is>
      </c>
      <c r="F181" t="inlineStr">
        <is>
          <t>&lt; .001</t>
        </is>
      </c>
      <c r="G181" t="inlineStr">
        <is>
          <t>✓</t>
        </is>
      </c>
    </row>
    <row r="182">
      <c r="A182" t="inlineStr">
        <is>
          <t>L_MST_ROI</t>
        </is>
      </c>
      <c r="B182" t="n">
        <v>-0.551</v>
      </c>
      <c r="C182" t="n">
        <v>1150</v>
      </c>
      <c r="D182" t="inlineStr">
        <is>
          <t>&lt; .001</t>
        </is>
      </c>
      <c r="E182" t="inlineStr">
        <is>
          <t>[-0.590, -0.510]</t>
        </is>
      </c>
      <c r="F182" t="inlineStr">
        <is>
          <t>&lt; .001</t>
        </is>
      </c>
      <c r="G182" t="inlineStr">
        <is>
          <t>✓</t>
        </is>
      </c>
    </row>
    <row r="183">
      <c r="A183" t="inlineStr">
        <is>
          <t>L_V6_ROI</t>
        </is>
      </c>
      <c r="B183" t="n">
        <v>-0.504</v>
      </c>
      <c r="C183" t="n">
        <v>1150</v>
      </c>
      <c r="D183" t="inlineStr">
        <is>
          <t>&lt; .001</t>
        </is>
      </c>
      <c r="E183" t="inlineStr">
        <is>
          <t>[-0.546, -0.459]</t>
        </is>
      </c>
      <c r="F183" t="inlineStr">
        <is>
          <t>&lt; .001</t>
        </is>
      </c>
      <c r="G183" t="inlineStr">
        <is>
          <t>✓</t>
        </is>
      </c>
    </row>
    <row r="184">
      <c r="A184" t="inlineStr">
        <is>
          <t>L_V2_ROI</t>
        </is>
      </c>
      <c r="B184" t="n">
        <v>-0.501</v>
      </c>
      <c r="C184" t="n">
        <v>1150</v>
      </c>
      <c r="D184" t="inlineStr">
        <is>
          <t>&lt; .001</t>
        </is>
      </c>
      <c r="E184" t="inlineStr">
        <is>
          <t>[-0.543, -0.457]</t>
        </is>
      </c>
      <c r="F184" t="inlineStr">
        <is>
          <t>&lt; .001</t>
        </is>
      </c>
      <c r="G184" t="inlineStr">
        <is>
          <t>✓</t>
        </is>
      </c>
    </row>
    <row r="185">
      <c r="A185" t="inlineStr">
        <is>
          <t>L_V3_ROI</t>
        </is>
      </c>
      <c r="B185" t="n">
        <v>-0.5570000000000001</v>
      </c>
      <c r="C185" t="n">
        <v>1150</v>
      </c>
      <c r="D185" t="inlineStr">
        <is>
          <t>&lt; .001</t>
        </is>
      </c>
      <c r="E185" t="inlineStr">
        <is>
          <t>[-0.596, -0.516]</t>
        </is>
      </c>
      <c r="F185" t="inlineStr">
        <is>
          <t>&lt; .001</t>
        </is>
      </c>
      <c r="G185" t="inlineStr">
        <is>
          <t>✓</t>
        </is>
      </c>
    </row>
    <row r="186">
      <c r="A186" t="inlineStr">
        <is>
          <t>L_V4_ROI</t>
        </is>
      </c>
      <c r="B186" t="n">
        <v>-0.5679999999999999</v>
      </c>
      <c r="C186" t="n">
        <v>1150</v>
      </c>
      <c r="D186" t="inlineStr">
        <is>
          <t>&lt; .001</t>
        </is>
      </c>
      <c r="E186" t="inlineStr">
        <is>
          <t>[-0.606, -0.528]</t>
        </is>
      </c>
      <c r="F186" t="inlineStr">
        <is>
          <t>&lt; .001</t>
        </is>
      </c>
      <c r="G186" t="inlineStr">
        <is>
          <t>✓</t>
        </is>
      </c>
    </row>
    <row r="187">
      <c r="A187" t="inlineStr">
        <is>
          <t>L_V8_ROI</t>
        </is>
      </c>
      <c r="B187" t="n">
        <v>-0.314</v>
      </c>
      <c r="C187" t="n">
        <v>1150</v>
      </c>
      <c r="D187" t="inlineStr">
        <is>
          <t>&lt; .001</t>
        </is>
      </c>
      <c r="E187" t="inlineStr">
        <is>
          <t>[-0.366, -0.261]</t>
        </is>
      </c>
      <c r="F187" t="inlineStr">
        <is>
          <t>&lt; .001</t>
        </is>
      </c>
      <c r="G187" t="inlineStr">
        <is>
          <t>✓</t>
        </is>
      </c>
    </row>
    <row r="188">
      <c r="A188" t="inlineStr">
        <is>
          <t>L_4_ROI</t>
        </is>
      </c>
      <c r="B188" t="n">
        <v>-0.696</v>
      </c>
      <c r="C188" t="n">
        <v>1150</v>
      </c>
      <c r="D188" t="inlineStr">
        <is>
          <t>&lt; .001</t>
        </is>
      </c>
      <c r="E188" t="inlineStr">
        <is>
          <t>[-0.724, -0.664]</t>
        </is>
      </c>
      <c r="F188" t="inlineStr">
        <is>
          <t>&lt; .001</t>
        </is>
      </c>
      <c r="G188" t="inlineStr">
        <is>
          <t>✓</t>
        </is>
      </c>
    </row>
    <row r="189">
      <c r="A189" t="inlineStr">
        <is>
          <t>L_3b_ROI</t>
        </is>
      </c>
      <c r="B189" t="n">
        <v>-0.511</v>
      </c>
      <c r="C189" t="n">
        <v>1150</v>
      </c>
      <c r="D189" t="inlineStr">
        <is>
          <t>&lt; .001</t>
        </is>
      </c>
      <c r="E189" t="inlineStr">
        <is>
          <t>[-0.552, -0.467]</t>
        </is>
      </c>
      <c r="F189" t="inlineStr">
        <is>
          <t>&lt; .001</t>
        </is>
      </c>
      <c r="G189" t="inlineStr">
        <is>
          <t>✓</t>
        </is>
      </c>
    </row>
    <row r="190">
      <c r="A190" t="inlineStr">
        <is>
          <t>L_FEF_ROI</t>
        </is>
      </c>
      <c r="B190" t="n">
        <v>-0.643</v>
      </c>
      <c r="C190" t="n">
        <v>1150</v>
      </c>
      <c r="D190" t="inlineStr">
        <is>
          <t>&lt; .001</t>
        </is>
      </c>
      <c r="E190" t="inlineStr">
        <is>
          <t>[-0.676, -0.608]</t>
        </is>
      </c>
      <c r="F190" t="inlineStr">
        <is>
          <t>&lt; .001</t>
        </is>
      </c>
      <c r="G190" t="inlineStr">
        <is>
          <t>✓</t>
        </is>
      </c>
    </row>
    <row r="191">
      <c r="A191" t="inlineStr">
        <is>
          <t>L_PEF_ROI</t>
        </is>
      </c>
      <c r="B191" t="n">
        <v>-0.538</v>
      </c>
      <c r="C191" t="n">
        <v>1150</v>
      </c>
      <c r="D191" t="inlineStr">
        <is>
          <t>&lt; .001</t>
        </is>
      </c>
      <c r="E191" t="inlineStr">
        <is>
          <t>[-0.578, -0.495]</t>
        </is>
      </c>
      <c r="F191" t="inlineStr">
        <is>
          <t>&lt; .001</t>
        </is>
      </c>
      <c r="G191" t="inlineStr">
        <is>
          <t>✓</t>
        </is>
      </c>
    </row>
    <row r="192">
      <c r="A192" t="inlineStr">
        <is>
          <t>L_55b_ROI</t>
        </is>
      </c>
      <c r="B192" t="n">
        <v>-0.643</v>
      </c>
      <c r="C192" t="n">
        <v>1150</v>
      </c>
      <c r="D192" t="inlineStr">
        <is>
          <t>&lt; .001</t>
        </is>
      </c>
      <c r="E192" t="inlineStr">
        <is>
          <t>[-0.675, -0.607]</t>
        </is>
      </c>
      <c r="F192" t="inlineStr">
        <is>
          <t>&lt; .001</t>
        </is>
      </c>
      <c r="G192" t="inlineStr">
        <is>
          <t>✓</t>
        </is>
      </c>
    </row>
    <row r="193">
      <c r="A193" t="inlineStr">
        <is>
          <t>L_V3A_ROI</t>
        </is>
      </c>
      <c r="B193" t="n">
        <v>-0.548</v>
      </c>
      <c r="C193" t="n">
        <v>1150</v>
      </c>
      <c r="D193" t="inlineStr">
        <is>
          <t>&lt; .001</t>
        </is>
      </c>
      <c r="E193" t="inlineStr">
        <is>
          <t>[-0.587, -0.506]</t>
        </is>
      </c>
      <c r="F193" t="inlineStr">
        <is>
          <t>&lt; .001</t>
        </is>
      </c>
      <c r="G193" t="inlineStr">
        <is>
          <t>✓</t>
        </is>
      </c>
    </row>
    <row r="194">
      <c r="A194" t="inlineStr">
        <is>
          <t>L_RSC_ROI</t>
        </is>
      </c>
      <c r="B194" t="n">
        <v>-0.449</v>
      </c>
      <c r="C194" t="n">
        <v>1150</v>
      </c>
      <c r="D194" t="inlineStr">
        <is>
          <t>&lt; .001</t>
        </is>
      </c>
      <c r="E194" t="inlineStr">
        <is>
          <t>[-0.494, -0.402]</t>
        </is>
      </c>
      <c r="F194" t="inlineStr">
        <is>
          <t>&lt; .001</t>
        </is>
      </c>
      <c r="G194" t="inlineStr">
        <is>
          <t>✓</t>
        </is>
      </c>
    </row>
    <row r="195">
      <c r="A195" t="inlineStr">
        <is>
          <t>L_POS2_ROI</t>
        </is>
      </c>
      <c r="B195" t="n">
        <v>-0.576</v>
      </c>
      <c r="C195" t="n">
        <v>1150</v>
      </c>
      <c r="D195" t="inlineStr">
        <is>
          <t>&lt; .001</t>
        </is>
      </c>
      <c r="E195" t="inlineStr">
        <is>
          <t>[-0.613, -0.536]</t>
        </is>
      </c>
      <c r="F195" t="inlineStr">
        <is>
          <t>&lt; .001</t>
        </is>
      </c>
      <c r="G195" t="inlineStr">
        <is>
          <t>✓</t>
        </is>
      </c>
    </row>
    <row r="196">
      <c r="A196" t="inlineStr">
        <is>
          <t>L_V7_ROI</t>
        </is>
      </c>
      <c r="B196" t="n">
        <v>-0.521</v>
      </c>
      <c r="C196" t="n">
        <v>1150</v>
      </c>
      <c r="D196" t="inlineStr">
        <is>
          <t>&lt; .001</t>
        </is>
      </c>
      <c r="E196" t="inlineStr">
        <is>
          <t>[-0.562, -0.478]</t>
        </is>
      </c>
      <c r="F196" t="inlineStr">
        <is>
          <t>&lt; .001</t>
        </is>
      </c>
      <c r="G196" t="inlineStr">
        <is>
          <t>✓</t>
        </is>
      </c>
    </row>
    <row r="197">
      <c r="A197" t="inlineStr">
        <is>
          <t>L_IPS1_ROI</t>
        </is>
      </c>
      <c r="B197" t="n">
        <v>-0.545</v>
      </c>
      <c r="C197" t="n">
        <v>1150</v>
      </c>
      <c r="D197" t="inlineStr">
        <is>
          <t>&lt; .001</t>
        </is>
      </c>
      <c r="E197" t="inlineStr">
        <is>
          <t>[-0.584, -0.503]</t>
        </is>
      </c>
      <c r="F197" t="inlineStr">
        <is>
          <t>&lt; .001</t>
        </is>
      </c>
      <c r="G197" t="inlineStr">
        <is>
          <t>✓</t>
        </is>
      </c>
    </row>
    <row r="198">
      <c r="A198" t="inlineStr">
        <is>
          <t>L_FFC_ROI</t>
        </is>
      </c>
      <c r="B198" t="n">
        <v>-0.375</v>
      </c>
      <c r="C198" t="n">
        <v>1150</v>
      </c>
      <c r="D198" t="inlineStr">
        <is>
          <t>&lt; .001</t>
        </is>
      </c>
      <c r="E198" t="inlineStr">
        <is>
          <t>[-0.424, -0.325]</t>
        </is>
      </c>
      <c r="F198" t="inlineStr">
        <is>
          <t>&lt; .001</t>
        </is>
      </c>
      <c r="G198" t="inlineStr">
        <is>
          <t>✓</t>
        </is>
      </c>
    </row>
    <row r="199">
      <c r="A199" t="inlineStr">
        <is>
          <t>L_V3B_ROI</t>
        </is>
      </c>
      <c r="B199" t="n">
        <v>-0.5570000000000001</v>
      </c>
      <c r="C199" t="n">
        <v>1150</v>
      </c>
      <c r="D199" t="inlineStr">
        <is>
          <t>&lt; .001</t>
        </is>
      </c>
      <c r="E199" t="inlineStr">
        <is>
          <t>[-0.596, -0.516]</t>
        </is>
      </c>
      <c r="F199" t="inlineStr">
        <is>
          <t>&lt; .001</t>
        </is>
      </c>
      <c r="G199" t="inlineStr">
        <is>
          <t>✓</t>
        </is>
      </c>
    </row>
    <row r="200">
      <c r="A200" t="inlineStr">
        <is>
          <t>L_LO1_ROI</t>
        </is>
      </c>
      <c r="B200" t="n">
        <v>-0.419</v>
      </c>
      <c r="C200" t="n">
        <v>1150</v>
      </c>
      <c r="D200" t="inlineStr">
        <is>
          <t>&lt; .001</t>
        </is>
      </c>
      <c r="E200" t="inlineStr">
        <is>
          <t>[-0.466, -0.370]</t>
        </is>
      </c>
      <c r="F200" t="inlineStr">
        <is>
          <t>&lt; .001</t>
        </is>
      </c>
      <c r="G200" t="inlineStr">
        <is>
          <t>✓</t>
        </is>
      </c>
    </row>
    <row r="201">
      <c r="A201" t="inlineStr">
        <is>
          <t>L_LO2_ROI</t>
        </is>
      </c>
      <c r="B201" t="n">
        <v>-0.377</v>
      </c>
      <c r="C201" t="n">
        <v>1150</v>
      </c>
      <c r="D201" t="inlineStr">
        <is>
          <t>&lt; .001</t>
        </is>
      </c>
      <c r="E201" t="inlineStr">
        <is>
          <t>[-0.425, -0.326]</t>
        </is>
      </c>
      <c r="F201" t="inlineStr">
        <is>
          <t>&lt; .001</t>
        </is>
      </c>
      <c r="G201" t="inlineStr">
        <is>
          <t>✓</t>
        </is>
      </c>
    </row>
    <row r="202">
      <c r="A202" t="inlineStr">
        <is>
          <t>L_PIT_ROI</t>
        </is>
      </c>
      <c r="B202" t="n">
        <v>-0.287</v>
      </c>
      <c r="C202" t="n">
        <v>1150</v>
      </c>
      <c r="D202" t="inlineStr">
        <is>
          <t>&lt; .001</t>
        </is>
      </c>
      <c r="E202" t="inlineStr">
        <is>
          <t>[-0.339, -0.233]</t>
        </is>
      </c>
      <c r="F202" t="inlineStr">
        <is>
          <t>&lt; .001</t>
        </is>
      </c>
      <c r="G202" t="inlineStr">
        <is>
          <t>✓</t>
        </is>
      </c>
    </row>
    <row r="203">
      <c r="A203" t="inlineStr">
        <is>
          <t>L_MT_ROI</t>
        </is>
      </c>
      <c r="B203" t="n">
        <v>-0.511</v>
      </c>
      <c r="C203" t="n">
        <v>1150</v>
      </c>
      <c r="D203" t="inlineStr">
        <is>
          <t>&lt; .001</t>
        </is>
      </c>
      <c r="E203" t="inlineStr">
        <is>
          <t>[-0.552, -0.467]</t>
        </is>
      </c>
      <c r="F203" t="inlineStr">
        <is>
          <t>&lt; .001</t>
        </is>
      </c>
      <c r="G203" t="inlineStr">
        <is>
          <t>✓</t>
        </is>
      </c>
    </row>
    <row r="204">
      <c r="A204" t="inlineStr">
        <is>
          <t>L_A1_ROI</t>
        </is>
      </c>
      <c r="B204" t="n">
        <v>-0.58</v>
      </c>
      <c r="C204" t="n">
        <v>1150</v>
      </c>
      <c r="D204" t="inlineStr">
        <is>
          <t>&lt; .001</t>
        </is>
      </c>
      <c r="E204" t="inlineStr">
        <is>
          <t>[-0.617, -0.540]</t>
        </is>
      </c>
      <c r="F204" t="inlineStr">
        <is>
          <t>&lt; .001</t>
        </is>
      </c>
      <c r="G204" t="inlineStr">
        <is>
          <t>✓</t>
        </is>
      </c>
    </row>
    <row r="205">
      <c r="A205" t="inlineStr">
        <is>
          <t>L_PSL_ROI</t>
        </is>
      </c>
      <c r="B205" t="n">
        <v>-0.5639999999999999</v>
      </c>
      <c r="C205" t="n">
        <v>1150</v>
      </c>
      <c r="D205" t="inlineStr">
        <is>
          <t>&lt; .001</t>
        </is>
      </c>
      <c r="E205" t="inlineStr">
        <is>
          <t>[-0.603, -0.524]</t>
        </is>
      </c>
      <c r="F205" t="inlineStr">
        <is>
          <t>&lt; .001</t>
        </is>
      </c>
      <c r="G205" t="inlineStr">
        <is>
          <t>✓</t>
        </is>
      </c>
    </row>
    <row r="206">
      <c r="A206" t="inlineStr">
        <is>
          <t>L_SFL_ROI</t>
        </is>
      </c>
      <c r="B206" t="n">
        <v>-0.612</v>
      </c>
      <c r="C206" t="n">
        <v>1150</v>
      </c>
      <c r="D206" t="inlineStr">
        <is>
          <t>&lt; .001</t>
        </is>
      </c>
      <c r="E206" t="inlineStr">
        <is>
          <t>[-0.647, -0.574]</t>
        </is>
      </c>
      <c r="F206" t="inlineStr">
        <is>
          <t>&lt; .001</t>
        </is>
      </c>
      <c r="G206" t="inlineStr">
        <is>
          <t>✓</t>
        </is>
      </c>
    </row>
    <row r="207">
      <c r="A207" t="inlineStr">
        <is>
          <t>L_PCV_ROI</t>
        </is>
      </c>
      <c r="B207" t="n">
        <v>-0.449</v>
      </c>
      <c r="C207" t="n">
        <v>1150</v>
      </c>
      <c r="D207" t="inlineStr">
        <is>
          <t>&lt; .001</t>
        </is>
      </c>
      <c r="E207" t="inlineStr">
        <is>
          <t>[-0.494, -0.402]</t>
        </is>
      </c>
      <c r="F207" t="inlineStr">
        <is>
          <t>&lt; .001</t>
        </is>
      </c>
      <c r="G207" t="inlineStr">
        <is>
          <t>✓</t>
        </is>
      </c>
    </row>
    <row r="208">
      <c r="A208" t="inlineStr">
        <is>
          <t>L_STV_ROI</t>
        </is>
      </c>
      <c r="B208" t="n">
        <v>-0.541</v>
      </c>
      <c r="C208" t="n">
        <v>1150</v>
      </c>
      <c r="D208" t="inlineStr">
        <is>
          <t>&lt; .001</t>
        </is>
      </c>
      <c r="E208" t="inlineStr">
        <is>
          <t>[-0.581, -0.499]</t>
        </is>
      </c>
      <c r="F208" t="inlineStr">
        <is>
          <t>&lt; .001</t>
        </is>
      </c>
      <c r="G208" t="inlineStr">
        <is>
          <t>✓</t>
        </is>
      </c>
    </row>
    <row r="209">
      <c r="A209" t="inlineStr">
        <is>
          <t>L_7Pm_ROI</t>
        </is>
      </c>
      <c r="B209" t="n">
        <v>-0.375</v>
      </c>
      <c r="C209" t="n">
        <v>1150</v>
      </c>
      <c r="D209" t="inlineStr">
        <is>
          <t>&lt; .001</t>
        </is>
      </c>
      <c r="E209" t="inlineStr">
        <is>
          <t>[-0.423, -0.324]</t>
        </is>
      </c>
      <c r="F209" t="inlineStr">
        <is>
          <t>&lt; .001</t>
        </is>
      </c>
      <c r="G209" t="inlineStr">
        <is>
          <t>✓</t>
        </is>
      </c>
    </row>
    <row r="210">
      <c r="A210" t="inlineStr">
        <is>
          <t>L_7m_ROI</t>
        </is>
      </c>
      <c r="B210" t="n">
        <v>-0.512</v>
      </c>
      <c r="C210" t="n">
        <v>1150</v>
      </c>
      <c r="D210" t="inlineStr">
        <is>
          <t>&lt; .001</t>
        </is>
      </c>
      <c r="E210" t="inlineStr">
        <is>
          <t>[-0.554, -0.468]</t>
        </is>
      </c>
      <c r="F210" t="inlineStr">
        <is>
          <t>&lt; .001</t>
        </is>
      </c>
      <c r="G210" t="inlineStr">
        <is>
          <t>✓</t>
        </is>
      </c>
    </row>
    <row r="211">
      <c r="A211" t="inlineStr">
        <is>
          <t>L_POS1_ROI</t>
        </is>
      </c>
      <c r="B211" t="n">
        <v>-0.625</v>
      </c>
      <c r="C211" t="n">
        <v>1150</v>
      </c>
      <c r="D211" t="inlineStr">
        <is>
          <t>&lt; .001</t>
        </is>
      </c>
      <c r="E211" t="inlineStr">
        <is>
          <t>[-0.659, -0.588]</t>
        </is>
      </c>
      <c r="F211" t="inlineStr">
        <is>
          <t>&lt; .001</t>
        </is>
      </c>
      <c r="G211" t="inlineStr">
        <is>
          <t>✓</t>
        </is>
      </c>
    </row>
    <row r="212">
      <c r="A212" t="inlineStr">
        <is>
          <t>L_23d_ROI</t>
        </is>
      </c>
      <c r="B212" t="n">
        <v>-0.508</v>
      </c>
      <c r="C212" t="n">
        <v>1150</v>
      </c>
      <c r="D212" t="inlineStr">
        <is>
          <t>&lt; .001</t>
        </is>
      </c>
      <c r="E212" t="inlineStr">
        <is>
          <t>[-0.550, -0.464]</t>
        </is>
      </c>
      <c r="F212" t="inlineStr">
        <is>
          <t>&lt; .001</t>
        </is>
      </c>
      <c r="G212" t="inlineStr">
        <is>
          <t>✓</t>
        </is>
      </c>
    </row>
    <row r="213">
      <c r="A213" t="inlineStr">
        <is>
          <t>L_v23ab_ROI</t>
        </is>
      </c>
      <c r="B213" t="n">
        <v>-0.447</v>
      </c>
      <c r="C213" t="n">
        <v>1150</v>
      </c>
      <c r="D213" t="inlineStr">
        <is>
          <t>&lt; .001</t>
        </is>
      </c>
      <c r="E213" t="inlineStr">
        <is>
          <t>[-0.492, -0.400]</t>
        </is>
      </c>
      <c r="F213" t="inlineStr">
        <is>
          <t>&lt; .001</t>
        </is>
      </c>
      <c r="G213" t="inlineStr">
        <is>
          <t>✓</t>
        </is>
      </c>
    </row>
    <row r="214">
      <c r="A214" t="inlineStr">
        <is>
          <t>L_d23ab_ROI</t>
        </is>
      </c>
      <c r="B214" t="n">
        <v>-0.599</v>
      </c>
      <c r="C214" t="n">
        <v>1150</v>
      </c>
      <c r="D214" t="inlineStr">
        <is>
          <t>&lt; .001</t>
        </is>
      </c>
      <c r="E214" t="inlineStr">
        <is>
          <t>[-0.635, -0.560]</t>
        </is>
      </c>
      <c r="F214" t="inlineStr">
        <is>
          <t>&lt; .001</t>
        </is>
      </c>
      <c r="G214" t="inlineStr">
        <is>
          <t>✓</t>
        </is>
      </c>
    </row>
    <row r="215">
      <c r="A215" t="inlineStr">
        <is>
          <t>L_31pv_ROI</t>
        </is>
      </c>
      <c r="B215" t="n">
        <v>-0.542</v>
      </c>
      <c r="C215" t="n">
        <v>1150</v>
      </c>
      <c r="D215" t="inlineStr">
        <is>
          <t>&lt; .001</t>
        </is>
      </c>
      <c r="E215" t="inlineStr">
        <is>
          <t>[-0.582, -0.500]</t>
        </is>
      </c>
      <c r="F215" t="inlineStr">
        <is>
          <t>&lt; .001</t>
        </is>
      </c>
      <c r="G215" t="inlineStr">
        <is>
          <t>✓</t>
        </is>
      </c>
    </row>
    <row r="216">
      <c r="A216" t="inlineStr">
        <is>
          <t>L_5m_ROI</t>
        </is>
      </c>
      <c r="B216" t="n">
        <v>-0.412</v>
      </c>
      <c r="C216" t="n">
        <v>1150</v>
      </c>
      <c r="D216" t="inlineStr">
        <is>
          <t>&lt; .001</t>
        </is>
      </c>
      <c r="E216" t="inlineStr">
        <is>
          <t>[-0.459, -0.363]</t>
        </is>
      </c>
      <c r="F216" t="inlineStr">
        <is>
          <t>&lt; .001</t>
        </is>
      </c>
      <c r="G216" t="inlineStr">
        <is>
          <t>✓</t>
        </is>
      </c>
    </row>
    <row r="217">
      <c r="A217" t="inlineStr">
        <is>
          <t>L_5mv_ROI</t>
        </is>
      </c>
      <c r="B217" t="n">
        <v>-0.457</v>
      </c>
      <c r="C217" t="n">
        <v>1150</v>
      </c>
      <c r="D217" t="inlineStr">
        <is>
          <t>&lt; .001</t>
        </is>
      </c>
      <c r="E217" t="inlineStr">
        <is>
          <t>[-0.501, -0.410]</t>
        </is>
      </c>
      <c r="F217" t="inlineStr">
        <is>
          <t>&lt; .001</t>
        </is>
      </c>
      <c r="G217" t="inlineStr">
        <is>
          <t>✓</t>
        </is>
      </c>
    </row>
    <row r="218">
      <c r="A218" t="inlineStr">
        <is>
          <t>L_23c_ROI</t>
        </is>
      </c>
      <c r="B218" t="n">
        <v>-0.587</v>
      </c>
      <c r="C218" t="n">
        <v>1150</v>
      </c>
      <c r="D218" t="inlineStr">
        <is>
          <t>&lt; .001</t>
        </is>
      </c>
      <c r="E218" t="inlineStr">
        <is>
          <t>[-0.623, -0.547]</t>
        </is>
      </c>
      <c r="F218" t="inlineStr">
        <is>
          <t>&lt; .001</t>
        </is>
      </c>
      <c r="G218" t="inlineStr">
        <is>
          <t>✓</t>
        </is>
      </c>
    </row>
    <row r="219">
      <c r="A219" t="inlineStr">
        <is>
          <t>L_5L_ROI</t>
        </is>
      </c>
      <c r="B219" t="n">
        <v>-0.386</v>
      </c>
      <c r="C219" t="n">
        <v>1150</v>
      </c>
      <c r="D219" t="inlineStr">
        <is>
          <t>&lt; .001</t>
        </is>
      </c>
      <c r="E219" t="inlineStr">
        <is>
          <t>[-0.434, -0.336]</t>
        </is>
      </c>
      <c r="F219" t="inlineStr">
        <is>
          <t>&lt; .001</t>
        </is>
      </c>
      <c r="G219" t="inlineStr">
        <is>
          <t>✓</t>
        </is>
      </c>
    </row>
    <row r="220">
      <c r="A220" t="inlineStr">
        <is>
          <t>L_24dd_ROI</t>
        </is>
      </c>
      <c r="B220" t="n">
        <v>-0.634</v>
      </c>
      <c r="C220" t="n">
        <v>1150</v>
      </c>
      <c r="D220" t="inlineStr">
        <is>
          <t>&lt; .001</t>
        </is>
      </c>
      <c r="E220" t="inlineStr">
        <is>
          <t>[-0.667, -0.598]</t>
        </is>
      </c>
      <c r="F220" t="inlineStr">
        <is>
          <t>&lt; .001</t>
        </is>
      </c>
      <c r="G220" t="inlineStr">
        <is>
          <t>✓</t>
        </is>
      </c>
    </row>
    <row r="221">
      <c r="A221" t="inlineStr">
        <is>
          <t>L_24dv_ROI</t>
        </is>
      </c>
      <c r="B221" t="n">
        <v>-0.614</v>
      </c>
      <c r="C221" t="n">
        <v>1150</v>
      </c>
      <c r="D221" t="inlineStr">
        <is>
          <t>&lt; .001</t>
        </is>
      </c>
      <c r="E221" t="inlineStr">
        <is>
          <t>[-0.649, -0.577]</t>
        </is>
      </c>
      <c r="F221" t="inlineStr">
        <is>
          <t>&lt; .001</t>
        </is>
      </c>
      <c r="G221" t="inlineStr">
        <is>
          <t>✓</t>
        </is>
      </c>
    </row>
    <row r="222">
      <c r="A222" t="inlineStr">
        <is>
          <t>L_7AL_ROI</t>
        </is>
      </c>
      <c r="B222" t="n">
        <v>-0.465</v>
      </c>
      <c r="C222" t="n">
        <v>1150</v>
      </c>
      <c r="D222" t="inlineStr">
        <is>
          <t>&lt; .001</t>
        </is>
      </c>
      <c r="E222" t="inlineStr">
        <is>
          <t>[-0.510, -0.419]</t>
        </is>
      </c>
      <c r="F222" t="inlineStr">
        <is>
          <t>&lt; .001</t>
        </is>
      </c>
      <c r="G222" t="inlineStr">
        <is>
          <t>✓</t>
        </is>
      </c>
    </row>
    <row r="223">
      <c r="A223" t="inlineStr">
        <is>
          <t>L_SCEF_ROI</t>
        </is>
      </c>
      <c r="B223" t="n">
        <v>-0.623</v>
      </c>
      <c r="C223" t="n">
        <v>1150</v>
      </c>
      <c r="D223" t="inlineStr">
        <is>
          <t>&lt; .001</t>
        </is>
      </c>
      <c r="E223" t="inlineStr">
        <is>
          <t>[-0.657, -0.586]</t>
        </is>
      </c>
      <c r="F223" t="inlineStr">
        <is>
          <t>&lt; .001</t>
        </is>
      </c>
      <c r="G223" t="inlineStr">
        <is>
          <t>✓</t>
        </is>
      </c>
    </row>
    <row r="224">
      <c r="A224" t="inlineStr">
        <is>
          <t>L_6ma_ROI</t>
        </is>
      </c>
      <c r="B224" t="n">
        <v>-0.582</v>
      </c>
      <c r="C224" t="n">
        <v>1150</v>
      </c>
      <c r="D224" t="inlineStr">
        <is>
          <t>&lt; .001</t>
        </is>
      </c>
      <c r="E224" t="inlineStr">
        <is>
          <t>[-0.619, -0.543]</t>
        </is>
      </c>
      <c r="F224" t="inlineStr">
        <is>
          <t>&lt; .001</t>
        </is>
      </c>
      <c r="G224" t="inlineStr">
        <is>
          <t>✓</t>
        </is>
      </c>
    </row>
    <row r="225">
      <c r="A225" t="inlineStr">
        <is>
          <t>L_7Am_ROI</t>
        </is>
      </c>
      <c r="B225" t="n">
        <v>-0.419</v>
      </c>
      <c r="C225" t="n">
        <v>1150</v>
      </c>
      <c r="D225" t="inlineStr">
        <is>
          <t>&lt; .001</t>
        </is>
      </c>
      <c r="E225" t="inlineStr">
        <is>
          <t>[-0.466, -0.371]</t>
        </is>
      </c>
      <c r="F225" t="inlineStr">
        <is>
          <t>&lt; .001</t>
        </is>
      </c>
      <c r="G225" t="inlineStr">
        <is>
          <t>✓</t>
        </is>
      </c>
    </row>
    <row r="226">
      <c r="A226" t="inlineStr">
        <is>
          <t>L_7PL_ROI</t>
        </is>
      </c>
      <c r="B226" t="n">
        <v>-0.41</v>
      </c>
      <c r="C226" t="n">
        <v>1150</v>
      </c>
      <c r="D226" t="inlineStr">
        <is>
          <t>&lt; .001</t>
        </is>
      </c>
      <c r="E226" t="inlineStr">
        <is>
          <t>[-0.457, -0.361]</t>
        </is>
      </c>
      <c r="F226" t="inlineStr">
        <is>
          <t>&lt; .001</t>
        </is>
      </c>
      <c r="G226" t="inlineStr">
        <is>
          <t>✓</t>
        </is>
      </c>
    </row>
    <row r="227">
      <c r="A227" t="inlineStr">
        <is>
          <t>L_7PC_ROI</t>
        </is>
      </c>
      <c r="B227" t="n">
        <v>-0.547</v>
      </c>
      <c r="C227" t="n">
        <v>1150</v>
      </c>
      <c r="D227" t="inlineStr">
        <is>
          <t>&lt; .001</t>
        </is>
      </c>
      <c r="E227" t="inlineStr">
        <is>
          <t>[-0.586, -0.505]</t>
        </is>
      </c>
      <c r="F227" t="inlineStr">
        <is>
          <t>&lt; .001</t>
        </is>
      </c>
      <c r="G227" t="inlineStr">
        <is>
          <t>✓</t>
        </is>
      </c>
    </row>
    <row r="228">
      <c r="A228" t="inlineStr">
        <is>
          <t>L_LIPv_ROI</t>
        </is>
      </c>
      <c r="B228" t="n">
        <v>-0.542</v>
      </c>
      <c r="C228" t="n">
        <v>1150</v>
      </c>
      <c r="D228" t="inlineStr">
        <is>
          <t>&lt; .001</t>
        </is>
      </c>
      <c r="E228" t="inlineStr">
        <is>
          <t>[-0.581, -0.500]</t>
        </is>
      </c>
      <c r="F228" t="inlineStr">
        <is>
          <t>&lt; .001</t>
        </is>
      </c>
      <c r="G228" t="inlineStr">
        <is>
          <t>✓</t>
        </is>
      </c>
    </row>
    <row r="229">
      <c r="A229" t="inlineStr">
        <is>
          <t>L_VIP_ROI</t>
        </is>
      </c>
      <c r="B229" t="n">
        <v>-0.444</v>
      </c>
      <c r="C229" t="n">
        <v>1150</v>
      </c>
      <c r="D229" t="inlineStr">
        <is>
          <t>&lt; .001</t>
        </is>
      </c>
      <c r="E229" t="inlineStr">
        <is>
          <t>[-0.489, -0.396]</t>
        </is>
      </c>
      <c r="F229" t="inlineStr">
        <is>
          <t>&lt; .001</t>
        </is>
      </c>
      <c r="G229" t="inlineStr">
        <is>
          <t>✓</t>
        </is>
      </c>
    </row>
    <row r="230">
      <c r="A230" t="inlineStr">
        <is>
          <t>L_MIP_ROI</t>
        </is>
      </c>
      <c r="B230" t="n">
        <v>-0.521</v>
      </c>
      <c r="C230" t="n">
        <v>1150</v>
      </c>
      <c r="D230" t="inlineStr">
        <is>
          <t>&lt; .001</t>
        </is>
      </c>
      <c r="E230" t="inlineStr">
        <is>
          <t>[-0.562, -0.478]</t>
        </is>
      </c>
      <c r="F230" t="inlineStr">
        <is>
          <t>&lt; .001</t>
        </is>
      </c>
      <c r="G230" t="inlineStr">
        <is>
          <t>✓</t>
        </is>
      </c>
    </row>
    <row r="231">
      <c r="A231" t="inlineStr">
        <is>
          <t>L_1_ROI</t>
        </is>
      </c>
      <c r="B231" t="n">
        <v>-0.63</v>
      </c>
      <c r="C231" t="n">
        <v>1150</v>
      </c>
      <c r="D231" t="inlineStr">
        <is>
          <t>&lt; .001</t>
        </is>
      </c>
      <c r="E231" t="inlineStr">
        <is>
          <t>[-0.664, -0.594]</t>
        </is>
      </c>
      <c r="F231" t="inlineStr">
        <is>
          <t>&lt; .001</t>
        </is>
      </c>
      <c r="G231" t="inlineStr">
        <is>
          <t>✓</t>
        </is>
      </c>
    </row>
    <row r="232">
      <c r="A232" t="inlineStr">
        <is>
          <t>L_2_ROI</t>
        </is>
      </c>
      <c r="B232" t="n">
        <v>-0.647</v>
      </c>
      <c r="C232" t="n">
        <v>1150</v>
      </c>
      <c r="D232" t="inlineStr">
        <is>
          <t>&lt; .001</t>
        </is>
      </c>
      <c r="E232" t="inlineStr">
        <is>
          <t>[-0.679, -0.612]</t>
        </is>
      </c>
      <c r="F232" t="inlineStr">
        <is>
          <t>&lt; .001</t>
        </is>
      </c>
      <c r="G232" t="inlineStr">
        <is>
          <t>✓</t>
        </is>
      </c>
    </row>
    <row r="233">
      <c r="A233" t="inlineStr">
        <is>
          <t>L_3a_ROI</t>
        </is>
      </c>
      <c r="B233" t="n">
        <v>-0.528</v>
      </c>
      <c r="C233" t="n">
        <v>1150</v>
      </c>
      <c r="D233" t="inlineStr">
        <is>
          <t>&lt; .001</t>
        </is>
      </c>
      <c r="E233" t="inlineStr">
        <is>
          <t>[-0.569, -0.485]</t>
        </is>
      </c>
      <c r="F233" t="inlineStr">
        <is>
          <t>&lt; .001</t>
        </is>
      </c>
      <c r="G233" t="inlineStr">
        <is>
          <t>✓</t>
        </is>
      </c>
    </row>
    <row r="234">
      <c r="A234" t="inlineStr">
        <is>
          <t>L_6d_ROI</t>
        </is>
      </c>
      <c r="B234" t="n">
        <v>-0.5659999999999999</v>
      </c>
      <c r="C234" t="n">
        <v>1150</v>
      </c>
      <c r="D234" t="inlineStr">
        <is>
          <t>&lt; .001</t>
        </is>
      </c>
      <c r="E234" t="inlineStr">
        <is>
          <t>[-0.604, -0.526]</t>
        </is>
      </c>
      <c r="F234" t="inlineStr">
        <is>
          <t>&lt; .001</t>
        </is>
      </c>
      <c r="G234" t="inlineStr">
        <is>
          <t>✓</t>
        </is>
      </c>
    </row>
    <row r="235">
      <c r="A235" t="inlineStr">
        <is>
          <t>L_6mp_ROI</t>
        </is>
      </c>
      <c r="B235" t="n">
        <v>-0.549</v>
      </c>
      <c r="C235" t="n">
        <v>1150</v>
      </c>
      <c r="D235" t="inlineStr">
        <is>
          <t>&lt; .001</t>
        </is>
      </c>
      <c r="E235" t="inlineStr">
        <is>
          <t>[-0.588, -0.507]</t>
        </is>
      </c>
      <c r="F235" t="inlineStr">
        <is>
          <t>&lt; .001</t>
        </is>
      </c>
      <c r="G235" t="inlineStr">
        <is>
          <t>✓</t>
        </is>
      </c>
    </row>
    <row r="236">
      <c r="A236" t="inlineStr">
        <is>
          <t>L_6v_ROI</t>
        </is>
      </c>
      <c r="B236" t="n">
        <v>-0.597</v>
      </c>
      <c r="C236" t="n">
        <v>1150</v>
      </c>
      <c r="D236" t="inlineStr">
        <is>
          <t>&lt; .001</t>
        </is>
      </c>
      <c r="E236" t="inlineStr">
        <is>
          <t>[-0.633, -0.559]</t>
        </is>
      </c>
      <c r="F236" t="inlineStr">
        <is>
          <t>&lt; .001</t>
        </is>
      </c>
      <c r="G236" t="inlineStr">
        <is>
          <t>✓</t>
        </is>
      </c>
    </row>
    <row r="237">
      <c r="A237" t="inlineStr">
        <is>
          <t>L_p24pr_ROI</t>
        </is>
      </c>
      <c r="B237" t="n">
        <v>-0.471</v>
      </c>
      <c r="C237" t="n">
        <v>1150</v>
      </c>
      <c r="D237" t="inlineStr">
        <is>
          <t>&lt; .001</t>
        </is>
      </c>
      <c r="E237" t="inlineStr">
        <is>
          <t>[-0.515, -0.425]</t>
        </is>
      </c>
      <c r="F237" t="inlineStr">
        <is>
          <t>&lt; .001</t>
        </is>
      </c>
      <c r="G237" t="inlineStr">
        <is>
          <t>✓</t>
        </is>
      </c>
    </row>
    <row r="238">
      <c r="A238" t="inlineStr">
        <is>
          <t>L_33pr_ROI</t>
        </is>
      </c>
      <c r="B238" t="n">
        <v>-0.401</v>
      </c>
      <c r="C238" t="n">
        <v>1150</v>
      </c>
      <c r="D238" t="inlineStr">
        <is>
          <t>&lt; .001</t>
        </is>
      </c>
      <c r="E238" t="inlineStr">
        <is>
          <t>[-0.449, -0.352]</t>
        </is>
      </c>
      <c r="F238" t="inlineStr">
        <is>
          <t>&lt; .001</t>
        </is>
      </c>
      <c r="G238" t="inlineStr">
        <is>
          <t>✓</t>
        </is>
      </c>
    </row>
    <row r="239">
      <c r="A239" t="inlineStr">
        <is>
          <t>L_a24pr_ROI</t>
        </is>
      </c>
      <c r="B239" t="n">
        <v>-0.439</v>
      </c>
      <c r="C239" t="n">
        <v>1150</v>
      </c>
      <c r="D239" t="inlineStr">
        <is>
          <t>&lt; .001</t>
        </is>
      </c>
      <c r="E239" t="inlineStr">
        <is>
          <t>[-0.484, -0.391]</t>
        </is>
      </c>
      <c r="F239" t="inlineStr">
        <is>
          <t>&lt; .001</t>
        </is>
      </c>
      <c r="G239" t="inlineStr">
        <is>
          <t>✓</t>
        </is>
      </c>
    </row>
    <row r="240">
      <c r="A240" t="inlineStr">
        <is>
          <t>L_p32pr_ROI</t>
        </is>
      </c>
      <c r="B240" t="n">
        <v>-0.637</v>
      </c>
      <c r="C240" t="n">
        <v>1150</v>
      </c>
      <c r="D240" t="inlineStr">
        <is>
          <t>&lt; .001</t>
        </is>
      </c>
      <c r="E240" t="inlineStr">
        <is>
          <t>[-0.670, -0.601]</t>
        </is>
      </c>
      <c r="F240" t="inlineStr">
        <is>
          <t>&lt; .001</t>
        </is>
      </c>
      <c r="G240" t="inlineStr">
        <is>
          <t>✓</t>
        </is>
      </c>
    </row>
    <row r="241">
      <c r="A241" t="inlineStr">
        <is>
          <t>L_a24_ROI</t>
        </is>
      </c>
      <c r="B241" t="n">
        <v>-0.178</v>
      </c>
      <c r="C241" t="n">
        <v>1150</v>
      </c>
      <c r="D241" t="inlineStr">
        <is>
          <t>&lt; .001</t>
        </is>
      </c>
      <c r="E241" t="inlineStr">
        <is>
          <t>[-0.233, -0.121]</t>
        </is>
      </c>
      <c r="F241" t="inlineStr">
        <is>
          <t>&lt; .001</t>
        </is>
      </c>
      <c r="G241" t="inlineStr">
        <is>
          <t>✓</t>
        </is>
      </c>
    </row>
    <row r="242">
      <c r="A242" t="inlineStr">
        <is>
          <t>L_d32_ROI</t>
        </is>
      </c>
      <c r="B242" t="n">
        <v>-0.579</v>
      </c>
      <c r="C242" t="n">
        <v>1150</v>
      </c>
      <c r="D242" t="inlineStr">
        <is>
          <t>&lt; .001</t>
        </is>
      </c>
      <c r="E242" t="inlineStr">
        <is>
          <t>[-0.616, -0.539]</t>
        </is>
      </c>
      <c r="F242" t="inlineStr">
        <is>
          <t>&lt; .001</t>
        </is>
      </c>
      <c r="G242" t="inlineStr">
        <is>
          <t>✓</t>
        </is>
      </c>
    </row>
    <row r="243">
      <c r="A243" t="inlineStr">
        <is>
          <t>L_8BM_ROI</t>
        </is>
      </c>
      <c r="B243" t="n">
        <v>-0.634</v>
      </c>
      <c r="C243" t="n">
        <v>1150</v>
      </c>
      <c r="D243" t="inlineStr">
        <is>
          <t>&lt; .001</t>
        </is>
      </c>
      <c r="E243" t="inlineStr">
        <is>
          <t>[-0.667, -0.598]</t>
        </is>
      </c>
      <c r="F243" t="inlineStr">
        <is>
          <t>&lt; .001</t>
        </is>
      </c>
      <c r="G243" t="inlineStr">
        <is>
          <t>✓</t>
        </is>
      </c>
    </row>
    <row r="244">
      <c r="A244" t="inlineStr">
        <is>
          <t>L_p32_ROI</t>
        </is>
      </c>
      <c r="B244" t="n">
        <v>-0.186</v>
      </c>
      <c r="C244" t="n">
        <v>1150</v>
      </c>
      <c r="D244" t="inlineStr">
        <is>
          <t>&lt; .001</t>
        </is>
      </c>
      <c r="E244" t="inlineStr">
        <is>
          <t>[-0.241, -0.129]</t>
        </is>
      </c>
      <c r="F244" t="inlineStr">
        <is>
          <t>&lt; .001</t>
        </is>
      </c>
      <c r="G244" t="inlineStr">
        <is>
          <t>✓</t>
        </is>
      </c>
    </row>
    <row r="245">
      <c r="A245" t="inlineStr">
        <is>
          <t>L_10r_ROI</t>
        </is>
      </c>
      <c r="B245" t="n">
        <v>-0.178</v>
      </c>
      <c r="C245" t="n">
        <v>1150</v>
      </c>
      <c r="D245" t="inlineStr">
        <is>
          <t>&lt; .001</t>
        </is>
      </c>
      <c r="E245" t="inlineStr">
        <is>
          <t>[-0.233, -0.121]</t>
        </is>
      </c>
      <c r="F245" t="inlineStr">
        <is>
          <t>&lt; .001</t>
        </is>
      </c>
      <c r="G245" t="inlineStr">
        <is>
          <t>✓</t>
        </is>
      </c>
    </row>
    <row r="246">
      <c r="A246" t="inlineStr">
        <is>
          <t>L_47m_ROI</t>
        </is>
      </c>
      <c r="B246" t="n">
        <v>-0.448</v>
      </c>
      <c r="C246" t="n">
        <v>1150</v>
      </c>
      <c r="D246" t="inlineStr">
        <is>
          <t>&lt; .001</t>
        </is>
      </c>
      <c r="E246" t="inlineStr">
        <is>
          <t>[-0.493, -0.401]</t>
        </is>
      </c>
      <c r="F246" t="inlineStr">
        <is>
          <t>&lt; .001</t>
        </is>
      </c>
      <c r="G246" t="inlineStr">
        <is>
          <t>✓</t>
        </is>
      </c>
    </row>
    <row r="247">
      <c r="A247" t="inlineStr">
        <is>
          <t>L_8Av_ROI</t>
        </is>
      </c>
      <c r="B247" t="n">
        <v>-0.611</v>
      </c>
      <c r="C247" t="n">
        <v>1150</v>
      </c>
      <c r="D247" t="inlineStr">
        <is>
          <t>&lt; .001</t>
        </is>
      </c>
      <c r="E247" t="inlineStr">
        <is>
          <t>[-0.646, -0.573]</t>
        </is>
      </c>
      <c r="F247" t="inlineStr">
        <is>
          <t>&lt; .001</t>
        </is>
      </c>
      <c r="G247" t="inlineStr">
        <is>
          <t>✓</t>
        </is>
      </c>
    </row>
    <row r="248">
      <c r="A248" t="inlineStr">
        <is>
          <t>L_8Ad_ROI</t>
        </is>
      </c>
      <c r="B248" t="n">
        <v>-0.649</v>
      </c>
      <c r="C248" t="n">
        <v>1150</v>
      </c>
      <c r="D248" t="inlineStr">
        <is>
          <t>&lt; .001</t>
        </is>
      </c>
      <c r="E248" t="inlineStr">
        <is>
          <t>[-0.681, -0.614]</t>
        </is>
      </c>
      <c r="F248" t="inlineStr">
        <is>
          <t>&lt; .001</t>
        </is>
      </c>
      <c r="G248" t="inlineStr">
        <is>
          <t>✓</t>
        </is>
      </c>
    </row>
    <row r="249">
      <c r="A249" t="inlineStr">
        <is>
          <t>L_9m_ROI</t>
        </is>
      </c>
      <c r="B249" t="n">
        <v>-0.52</v>
      </c>
      <c r="C249" t="n">
        <v>1150</v>
      </c>
      <c r="D249" t="inlineStr">
        <is>
          <t>&lt; .001</t>
        </is>
      </c>
      <c r="E249" t="inlineStr">
        <is>
          <t>[-0.561, -0.476]</t>
        </is>
      </c>
      <c r="F249" t="inlineStr">
        <is>
          <t>&lt; .001</t>
        </is>
      </c>
      <c r="G249" t="inlineStr">
        <is>
          <t>✓</t>
        </is>
      </c>
    </row>
    <row r="250">
      <c r="A250" t="inlineStr">
        <is>
          <t>L_8BL_ROI</t>
        </is>
      </c>
      <c r="B250" t="n">
        <v>-0.543</v>
      </c>
      <c r="C250" t="n">
        <v>1150</v>
      </c>
      <c r="D250" t="inlineStr">
        <is>
          <t>&lt; .001</t>
        </is>
      </c>
      <c r="E250" t="inlineStr">
        <is>
          <t>[-0.582, -0.501]</t>
        </is>
      </c>
      <c r="F250" t="inlineStr">
        <is>
          <t>&lt; .001</t>
        </is>
      </c>
      <c r="G250" t="inlineStr">
        <is>
          <t>✓</t>
        </is>
      </c>
    </row>
    <row r="251">
      <c r="A251" t="inlineStr">
        <is>
          <t>L_9p_ROI</t>
        </is>
      </c>
      <c r="B251" t="n">
        <v>-0.548</v>
      </c>
      <c r="C251" t="n">
        <v>1150</v>
      </c>
      <c r="D251" t="inlineStr">
        <is>
          <t>&lt; .001</t>
        </is>
      </c>
      <c r="E251" t="inlineStr">
        <is>
          <t>[-0.587, -0.506]</t>
        </is>
      </c>
      <c r="F251" t="inlineStr">
        <is>
          <t>&lt; .001</t>
        </is>
      </c>
      <c r="G251" t="inlineStr">
        <is>
          <t>✓</t>
        </is>
      </c>
    </row>
    <row r="252">
      <c r="A252" t="inlineStr">
        <is>
          <t>L_10d_ROI</t>
        </is>
      </c>
      <c r="B252" t="n">
        <v>-0.413</v>
      </c>
      <c r="C252" t="n">
        <v>1150</v>
      </c>
      <c r="D252" t="inlineStr">
        <is>
          <t>&lt; .001</t>
        </is>
      </c>
      <c r="E252" t="inlineStr">
        <is>
          <t>[-0.460, -0.364]</t>
        </is>
      </c>
      <c r="F252" t="inlineStr">
        <is>
          <t>&lt; .001</t>
        </is>
      </c>
      <c r="G252" t="inlineStr">
        <is>
          <t>✓</t>
        </is>
      </c>
    </row>
    <row r="253">
      <c r="A253" t="inlineStr">
        <is>
          <t>L_8C_ROI</t>
        </is>
      </c>
      <c r="B253" t="n">
        <v>-0.649</v>
      </c>
      <c r="C253" t="n">
        <v>1150</v>
      </c>
      <c r="D253" t="inlineStr">
        <is>
          <t>&lt; .001</t>
        </is>
      </c>
      <c r="E253" t="inlineStr">
        <is>
          <t>[-0.682, -0.615]</t>
        </is>
      </c>
      <c r="F253" t="inlineStr">
        <is>
          <t>&lt; .001</t>
        </is>
      </c>
      <c r="G253" t="inlineStr">
        <is>
          <t>✓</t>
        </is>
      </c>
    </row>
    <row r="254">
      <c r="A254" t="inlineStr">
        <is>
          <t>L_44_ROI</t>
        </is>
      </c>
      <c r="B254" t="n">
        <v>-0.5610000000000001</v>
      </c>
      <c r="C254" t="n">
        <v>1150</v>
      </c>
      <c r="D254" t="inlineStr">
        <is>
          <t>&lt; .001</t>
        </is>
      </c>
      <c r="E254" t="inlineStr">
        <is>
          <t>[-0.600, -0.520]</t>
        </is>
      </c>
      <c r="F254" t="inlineStr">
        <is>
          <t>&lt; .001</t>
        </is>
      </c>
      <c r="G254" t="inlineStr">
        <is>
          <t>✓</t>
        </is>
      </c>
    </row>
    <row r="255">
      <c r="A255" t="inlineStr">
        <is>
          <t>L_45_ROI</t>
        </is>
      </c>
      <c r="B255" t="n">
        <v>-0.616</v>
      </c>
      <c r="C255" t="n">
        <v>1150</v>
      </c>
      <c r="D255" t="inlineStr">
        <is>
          <t>&lt; .001</t>
        </is>
      </c>
      <c r="E255" t="inlineStr">
        <is>
          <t>[-0.651, -0.579]</t>
        </is>
      </c>
      <c r="F255" t="inlineStr">
        <is>
          <t>&lt; .001</t>
        </is>
      </c>
      <c r="G255" t="inlineStr">
        <is>
          <t>✓</t>
        </is>
      </c>
    </row>
    <row r="256">
      <c r="A256" t="inlineStr">
        <is>
          <t>L_47l_ROI</t>
        </is>
      </c>
      <c r="B256" t="n">
        <v>-0.472</v>
      </c>
      <c r="C256" t="n">
        <v>1150</v>
      </c>
      <c r="D256" t="inlineStr">
        <is>
          <t>&lt; .001</t>
        </is>
      </c>
      <c r="E256" t="inlineStr">
        <is>
          <t>[-0.516, -0.426]</t>
        </is>
      </c>
      <c r="F256" t="inlineStr">
        <is>
          <t>&lt; .001</t>
        </is>
      </c>
      <c r="G256" t="inlineStr">
        <is>
          <t>✓</t>
        </is>
      </c>
    </row>
    <row r="257">
      <c r="A257" t="inlineStr">
        <is>
          <t>L_a47r_ROI</t>
        </is>
      </c>
      <c r="B257" t="n">
        <v>-0.472</v>
      </c>
      <c r="C257" t="n">
        <v>1150</v>
      </c>
      <c r="D257" t="inlineStr">
        <is>
          <t>&lt; .001</t>
        </is>
      </c>
      <c r="E257" t="inlineStr">
        <is>
          <t>[-0.515, -0.425]</t>
        </is>
      </c>
      <c r="F257" t="inlineStr">
        <is>
          <t>&lt; .001</t>
        </is>
      </c>
      <c r="G257" t="inlineStr">
        <is>
          <t>✓</t>
        </is>
      </c>
    </row>
    <row r="258">
      <c r="A258" t="inlineStr">
        <is>
          <t>L_6r_ROI</t>
        </is>
      </c>
      <c r="B258" t="n">
        <v>-0.627</v>
      </c>
      <c r="C258" t="n">
        <v>1150</v>
      </c>
      <c r="D258" t="inlineStr">
        <is>
          <t>&lt; .001</t>
        </is>
      </c>
      <c r="E258" t="inlineStr">
        <is>
          <t>[-0.661, -0.591]</t>
        </is>
      </c>
      <c r="F258" t="inlineStr">
        <is>
          <t>&lt; .001</t>
        </is>
      </c>
      <c r="G258" t="inlineStr">
        <is>
          <t>✓</t>
        </is>
      </c>
    </row>
    <row r="259">
      <c r="A259" t="inlineStr">
        <is>
          <t>L_IFJa_ROI</t>
        </is>
      </c>
      <c r="B259" t="n">
        <v>-0.5649999999999999</v>
      </c>
      <c r="C259" t="n">
        <v>1150</v>
      </c>
      <c r="D259" t="inlineStr">
        <is>
          <t>&lt; .001</t>
        </is>
      </c>
      <c r="E259" t="inlineStr">
        <is>
          <t>[-0.603, -0.524]</t>
        </is>
      </c>
      <c r="F259" t="inlineStr">
        <is>
          <t>&lt; .001</t>
        </is>
      </c>
      <c r="G259" t="inlineStr">
        <is>
          <t>✓</t>
        </is>
      </c>
    </row>
    <row r="260">
      <c r="A260" t="inlineStr">
        <is>
          <t>L_IFJp_ROI</t>
        </is>
      </c>
      <c r="B260" t="n">
        <v>-0.5669999999999999</v>
      </c>
      <c r="C260" t="n">
        <v>1150</v>
      </c>
      <c r="D260" t="inlineStr">
        <is>
          <t>&lt; .001</t>
        </is>
      </c>
      <c r="E260" t="inlineStr">
        <is>
          <t>[-0.605, -0.527]</t>
        </is>
      </c>
      <c r="F260" t="inlineStr">
        <is>
          <t>&lt; .001</t>
        </is>
      </c>
      <c r="G260" t="inlineStr">
        <is>
          <t>✓</t>
        </is>
      </c>
    </row>
    <row r="261">
      <c r="A261" t="inlineStr">
        <is>
          <t>L_IFSp_ROI</t>
        </is>
      </c>
      <c r="B261" t="n">
        <v>-0.554</v>
      </c>
      <c r="C261" t="n">
        <v>1150</v>
      </c>
      <c r="D261" t="inlineStr">
        <is>
          <t>&lt; .001</t>
        </is>
      </c>
      <c r="E261" t="inlineStr">
        <is>
          <t>[-0.593, -0.513]</t>
        </is>
      </c>
      <c r="F261" t="inlineStr">
        <is>
          <t>&lt; .001</t>
        </is>
      </c>
      <c r="G261" t="inlineStr">
        <is>
          <t>✓</t>
        </is>
      </c>
    </row>
    <row r="262">
      <c r="A262" t="inlineStr">
        <is>
          <t>L_IFSa_ROI</t>
        </is>
      </c>
      <c r="B262" t="n">
        <v>-0.5639999999999999</v>
      </c>
      <c r="C262" t="n">
        <v>1150</v>
      </c>
      <c r="D262" t="inlineStr">
        <is>
          <t>&lt; .001</t>
        </is>
      </c>
      <c r="E262" t="inlineStr">
        <is>
          <t>[-0.602, -0.523]</t>
        </is>
      </c>
      <c r="F262" t="inlineStr">
        <is>
          <t>&lt; .001</t>
        </is>
      </c>
      <c r="G262" t="inlineStr">
        <is>
          <t>✓</t>
        </is>
      </c>
    </row>
    <row r="263">
      <c r="A263" t="inlineStr">
        <is>
          <t>L_p9_46v_ROI</t>
        </is>
      </c>
      <c r="B263" t="n">
        <v>-0.5669999999999999</v>
      </c>
      <c r="C263" t="n">
        <v>1150</v>
      </c>
      <c r="D263" t="inlineStr">
        <is>
          <t>&lt; .001</t>
        </is>
      </c>
      <c r="E263" t="inlineStr">
        <is>
          <t>[-0.605, -0.527]</t>
        </is>
      </c>
      <c r="F263" t="inlineStr">
        <is>
          <t>&lt; .001</t>
        </is>
      </c>
      <c r="G263" t="inlineStr">
        <is>
          <t>✓</t>
        </is>
      </c>
    </row>
    <row r="264">
      <c r="A264" t="inlineStr">
        <is>
          <t>L_46_ROI</t>
        </is>
      </c>
      <c r="B264" t="n">
        <v>-0.5600000000000001</v>
      </c>
      <c r="C264" t="n">
        <v>1150</v>
      </c>
      <c r="D264" t="inlineStr">
        <is>
          <t>&lt; .001</t>
        </is>
      </c>
      <c r="E264" t="inlineStr">
        <is>
          <t>[-0.598, -0.519]</t>
        </is>
      </c>
      <c r="F264" t="inlineStr">
        <is>
          <t>&lt; .001</t>
        </is>
      </c>
      <c r="G264" t="inlineStr">
        <is>
          <t>✓</t>
        </is>
      </c>
    </row>
    <row r="265">
      <c r="A265" t="inlineStr">
        <is>
          <t>L_a9_46v_ROI</t>
        </is>
      </c>
      <c r="B265" t="n">
        <v>-0.553</v>
      </c>
      <c r="C265" t="n">
        <v>1150</v>
      </c>
      <c r="D265" t="inlineStr">
        <is>
          <t>&lt; .001</t>
        </is>
      </c>
      <c r="E265" t="inlineStr">
        <is>
          <t>[-0.592, -0.512]</t>
        </is>
      </c>
      <c r="F265" t="inlineStr">
        <is>
          <t>&lt; .001</t>
        </is>
      </c>
      <c r="G265" t="inlineStr">
        <is>
          <t>✓</t>
        </is>
      </c>
    </row>
    <row r="266">
      <c r="A266" t="inlineStr">
        <is>
          <t>L_9_46d_ROI</t>
        </is>
      </c>
      <c r="B266" t="n">
        <v>-0.594</v>
      </c>
      <c r="C266" t="n">
        <v>1150</v>
      </c>
      <c r="D266" t="inlineStr">
        <is>
          <t>&lt; .001</t>
        </is>
      </c>
      <c r="E266" t="inlineStr">
        <is>
          <t>[-0.630, -0.555]</t>
        </is>
      </c>
      <c r="F266" t="inlineStr">
        <is>
          <t>&lt; .001</t>
        </is>
      </c>
      <c r="G266" t="inlineStr">
        <is>
          <t>✓</t>
        </is>
      </c>
    </row>
    <row r="267">
      <c r="A267" t="inlineStr">
        <is>
          <t>L_9a_ROI</t>
        </is>
      </c>
      <c r="B267" t="n">
        <v>-0.494</v>
      </c>
      <c r="C267" t="n">
        <v>1150</v>
      </c>
      <c r="D267" t="inlineStr">
        <is>
          <t>&lt; .001</t>
        </is>
      </c>
      <c r="E267" t="inlineStr">
        <is>
          <t>[-0.536, -0.449]</t>
        </is>
      </c>
      <c r="F267" t="inlineStr">
        <is>
          <t>&lt; .001</t>
        </is>
      </c>
      <c r="G267" t="inlineStr">
        <is>
          <t>✓</t>
        </is>
      </c>
    </row>
    <row r="268">
      <c r="A268" t="inlineStr">
        <is>
          <t>L_a10p_ROI</t>
        </is>
      </c>
      <c r="B268" t="n">
        <v>-0.433</v>
      </c>
      <c r="C268" t="n">
        <v>1150</v>
      </c>
      <c r="D268" t="inlineStr">
        <is>
          <t>&lt; .001</t>
        </is>
      </c>
      <c r="E268" t="inlineStr">
        <is>
          <t>[-0.479, -0.385]</t>
        </is>
      </c>
      <c r="F268" t="inlineStr">
        <is>
          <t>&lt; .001</t>
        </is>
      </c>
      <c r="G268" t="inlineStr">
        <is>
          <t>✓</t>
        </is>
      </c>
    </row>
    <row r="269">
      <c r="A269" t="inlineStr">
        <is>
          <t>L_10pp_ROI</t>
        </is>
      </c>
      <c r="B269" t="n">
        <v>-0.288</v>
      </c>
      <c r="C269" t="n">
        <v>1150</v>
      </c>
      <c r="D269" t="inlineStr">
        <is>
          <t>&lt; .001</t>
        </is>
      </c>
      <c r="E269" t="inlineStr">
        <is>
          <t>[-0.341, -0.235]</t>
        </is>
      </c>
      <c r="F269" t="inlineStr">
        <is>
          <t>&lt; .001</t>
        </is>
      </c>
      <c r="G269" t="inlineStr">
        <is>
          <t>✓</t>
        </is>
      </c>
    </row>
    <row r="270">
      <c r="A270" t="inlineStr">
        <is>
          <t>L_11l_ROI</t>
        </is>
      </c>
      <c r="B270" t="n">
        <v>-0.278</v>
      </c>
      <c r="C270" t="n">
        <v>1150</v>
      </c>
      <c r="D270" t="inlineStr">
        <is>
          <t>&lt; .001</t>
        </is>
      </c>
      <c r="E270" t="inlineStr">
        <is>
          <t>[-0.330, -0.223]</t>
        </is>
      </c>
      <c r="F270" t="inlineStr">
        <is>
          <t>&lt; .001</t>
        </is>
      </c>
      <c r="G270" t="inlineStr">
        <is>
          <t>✓</t>
        </is>
      </c>
    </row>
    <row r="271">
      <c r="A271" t="inlineStr">
        <is>
          <t>L_13l_ROI</t>
        </is>
      </c>
      <c r="B271" t="n">
        <v>-0.343</v>
      </c>
      <c r="C271" t="n">
        <v>1150</v>
      </c>
      <c r="D271" t="inlineStr">
        <is>
          <t>&lt; .001</t>
        </is>
      </c>
      <c r="E271" t="inlineStr">
        <is>
          <t>[-0.393, -0.291]</t>
        </is>
      </c>
      <c r="F271" t="inlineStr">
        <is>
          <t>&lt; .001</t>
        </is>
      </c>
      <c r="G271" t="inlineStr">
        <is>
          <t>✓</t>
        </is>
      </c>
    </row>
    <row r="272">
      <c r="A272" t="inlineStr">
        <is>
          <t>L_OFC_ROI</t>
        </is>
      </c>
      <c r="B272" t="n">
        <v>0.15</v>
      </c>
      <c r="C272" t="n">
        <v>1150</v>
      </c>
      <c r="D272" t="inlineStr">
        <is>
          <t>&lt; .001</t>
        </is>
      </c>
      <c r="E272" t="inlineStr">
        <is>
          <t>[0.093, 0.206]</t>
        </is>
      </c>
      <c r="F272" t="inlineStr">
        <is>
          <t>&lt; .001</t>
        </is>
      </c>
      <c r="G272" t="inlineStr">
        <is>
          <t>✓</t>
        </is>
      </c>
    </row>
    <row r="273">
      <c r="A273" t="inlineStr">
        <is>
          <t>L_47s_ROI</t>
        </is>
      </c>
      <c r="B273" t="n">
        <v>-0.392</v>
      </c>
      <c r="C273" t="n">
        <v>1150</v>
      </c>
      <c r="D273" t="inlineStr">
        <is>
          <t>&lt; .001</t>
        </is>
      </c>
      <c r="E273" t="inlineStr">
        <is>
          <t>[-0.440, -0.342]</t>
        </is>
      </c>
      <c r="F273" t="inlineStr">
        <is>
          <t>&lt; .001</t>
        </is>
      </c>
      <c r="G273" t="inlineStr">
        <is>
          <t>✓</t>
        </is>
      </c>
    </row>
    <row r="274">
      <c r="A274" t="inlineStr">
        <is>
          <t>L_LIPd_ROI</t>
        </is>
      </c>
      <c r="B274" t="n">
        <v>-0.5570000000000001</v>
      </c>
      <c r="C274" t="n">
        <v>1150</v>
      </c>
      <c r="D274" t="inlineStr">
        <is>
          <t>&lt; .001</t>
        </is>
      </c>
      <c r="E274" t="inlineStr">
        <is>
          <t>[-0.596, -0.516]</t>
        </is>
      </c>
      <c r="F274" t="inlineStr">
        <is>
          <t>&lt; .001</t>
        </is>
      </c>
      <c r="G274" t="inlineStr">
        <is>
          <t>✓</t>
        </is>
      </c>
    </row>
    <row r="275">
      <c r="A275" t="inlineStr">
        <is>
          <t>L_6a_ROI</t>
        </is>
      </c>
      <c r="B275" t="n">
        <v>-0.644</v>
      </c>
      <c r="C275" t="n">
        <v>1150</v>
      </c>
      <c r="D275" t="inlineStr">
        <is>
          <t>&lt; .001</t>
        </is>
      </c>
      <c r="E275" t="inlineStr">
        <is>
          <t>[-0.677, -0.609]</t>
        </is>
      </c>
      <c r="F275" t="inlineStr">
        <is>
          <t>&lt; .001</t>
        </is>
      </c>
      <c r="G275" t="inlineStr">
        <is>
          <t>✓</t>
        </is>
      </c>
    </row>
    <row r="276">
      <c r="A276" t="inlineStr">
        <is>
          <t>L_i6_8_ROI</t>
        </is>
      </c>
      <c r="B276" t="n">
        <v>-0.57</v>
      </c>
      <c r="C276" t="n">
        <v>1150</v>
      </c>
      <c r="D276" t="inlineStr">
        <is>
          <t>&lt; .001</t>
        </is>
      </c>
      <c r="E276" t="inlineStr">
        <is>
          <t>[-0.608, -0.530]</t>
        </is>
      </c>
      <c r="F276" t="inlineStr">
        <is>
          <t>&lt; .001</t>
        </is>
      </c>
      <c r="G276" t="inlineStr">
        <is>
          <t>✓</t>
        </is>
      </c>
    </row>
    <row r="277">
      <c r="A277" t="inlineStr">
        <is>
          <t>L_s6_8_ROI</t>
        </is>
      </c>
      <c r="B277" t="n">
        <v>-0.51</v>
      </c>
      <c r="C277" t="n">
        <v>1150</v>
      </c>
      <c r="D277" t="inlineStr">
        <is>
          <t>&lt; .001</t>
        </is>
      </c>
      <c r="E277" t="inlineStr">
        <is>
          <t>[-0.552, -0.466]</t>
        </is>
      </c>
      <c r="F277" t="inlineStr">
        <is>
          <t>&lt; .001</t>
        </is>
      </c>
      <c r="G277" t="inlineStr">
        <is>
          <t>✓</t>
        </is>
      </c>
    </row>
    <row r="278">
      <c r="A278" t="inlineStr">
        <is>
          <t>L_43_ROI</t>
        </is>
      </c>
      <c r="B278" t="n">
        <v>-0.606</v>
      </c>
      <c r="C278" t="n">
        <v>1150</v>
      </c>
      <c r="D278" t="inlineStr">
        <is>
          <t>&lt; .001</t>
        </is>
      </c>
      <c r="E278" t="inlineStr">
        <is>
          <t>[-0.641, -0.568]</t>
        </is>
      </c>
      <c r="F278" t="inlineStr">
        <is>
          <t>&lt; .001</t>
        </is>
      </c>
      <c r="G278" t="inlineStr">
        <is>
          <t>✓</t>
        </is>
      </c>
    </row>
    <row r="279">
      <c r="A279" t="inlineStr">
        <is>
          <t>L_OP4_ROI</t>
        </is>
      </c>
      <c r="B279" t="n">
        <v>-0.555</v>
      </c>
      <c r="C279" t="n">
        <v>1150</v>
      </c>
      <c r="D279" t="inlineStr">
        <is>
          <t>&lt; .001</t>
        </is>
      </c>
      <c r="E279" t="inlineStr">
        <is>
          <t>[-0.594, -0.513]</t>
        </is>
      </c>
      <c r="F279" t="inlineStr">
        <is>
          <t>&lt; .001</t>
        </is>
      </c>
      <c r="G279" t="inlineStr">
        <is>
          <t>✓</t>
        </is>
      </c>
    </row>
    <row r="280">
      <c r="A280" t="inlineStr">
        <is>
          <t>L_OP1_ROI</t>
        </is>
      </c>
      <c r="B280" t="n">
        <v>-0.525</v>
      </c>
      <c r="C280" t="n">
        <v>1150</v>
      </c>
      <c r="D280" t="inlineStr">
        <is>
          <t>&lt; .001</t>
        </is>
      </c>
      <c r="E280" t="inlineStr">
        <is>
          <t>[-0.566, -0.482]</t>
        </is>
      </c>
      <c r="F280" t="inlineStr">
        <is>
          <t>&lt; .001</t>
        </is>
      </c>
      <c r="G280" t="inlineStr">
        <is>
          <t>✓</t>
        </is>
      </c>
    </row>
    <row r="281">
      <c r="A281" t="inlineStr">
        <is>
          <t>L_OP2_3_ROI</t>
        </is>
      </c>
      <c r="B281" t="n">
        <v>-0.663</v>
      </c>
      <c r="C281" t="n">
        <v>1150</v>
      </c>
      <c r="D281" t="inlineStr">
        <is>
          <t>&lt; .001</t>
        </is>
      </c>
      <c r="E281" t="inlineStr">
        <is>
          <t>[-0.694, -0.630]</t>
        </is>
      </c>
      <c r="F281" t="inlineStr">
        <is>
          <t>&lt; .001</t>
        </is>
      </c>
      <c r="G281" t="inlineStr">
        <is>
          <t>✓</t>
        </is>
      </c>
    </row>
    <row r="282">
      <c r="A282" t="inlineStr">
        <is>
          <t>L_52_ROI</t>
        </is>
      </c>
      <c r="B282" t="n">
        <v>-0.547</v>
      </c>
      <c r="C282" t="n">
        <v>1150</v>
      </c>
      <c r="D282" t="inlineStr">
        <is>
          <t>&lt; .001</t>
        </is>
      </c>
      <c r="E282" t="inlineStr">
        <is>
          <t>[-0.586, -0.505]</t>
        </is>
      </c>
      <c r="F282" t="inlineStr">
        <is>
          <t>&lt; .001</t>
        </is>
      </c>
      <c r="G282" t="inlineStr">
        <is>
          <t>✓</t>
        </is>
      </c>
    </row>
    <row r="283">
      <c r="A283" t="inlineStr">
        <is>
          <t>L_RI_ROI</t>
        </is>
      </c>
      <c r="B283" t="n">
        <v>-0.672</v>
      </c>
      <c r="C283" t="n">
        <v>1150</v>
      </c>
      <c r="D283" t="inlineStr">
        <is>
          <t>&lt; .001</t>
        </is>
      </c>
      <c r="E283" t="inlineStr">
        <is>
          <t>[-0.702, -0.639]</t>
        </is>
      </c>
      <c r="F283" t="inlineStr">
        <is>
          <t>&lt; .001</t>
        </is>
      </c>
      <c r="G283" t="inlineStr">
        <is>
          <t>✓</t>
        </is>
      </c>
    </row>
    <row r="284">
      <c r="A284" t="inlineStr">
        <is>
          <t>L_PFcm_ROI</t>
        </is>
      </c>
      <c r="B284" t="n">
        <v>-0.522</v>
      </c>
      <c r="C284" t="n">
        <v>1150</v>
      </c>
      <c r="D284" t="inlineStr">
        <is>
          <t>&lt; .001</t>
        </is>
      </c>
      <c r="E284" t="inlineStr">
        <is>
          <t>[-0.563, -0.479]</t>
        </is>
      </c>
      <c r="F284" t="inlineStr">
        <is>
          <t>&lt; .001</t>
        </is>
      </c>
      <c r="G284" t="inlineStr">
        <is>
          <t>✓</t>
        </is>
      </c>
    </row>
    <row r="285">
      <c r="A285" t="inlineStr">
        <is>
          <t>L_PoI2_ROI</t>
        </is>
      </c>
      <c r="B285" t="n">
        <v>-0.23</v>
      </c>
      <c r="C285" t="n">
        <v>1150</v>
      </c>
      <c r="D285" t="inlineStr">
        <is>
          <t>&lt; .001</t>
        </is>
      </c>
      <c r="E285" t="inlineStr">
        <is>
          <t>[-0.284, -0.175]</t>
        </is>
      </c>
      <c r="F285" t="inlineStr">
        <is>
          <t>&lt; .001</t>
        </is>
      </c>
      <c r="G285" t="inlineStr">
        <is>
          <t>✓</t>
        </is>
      </c>
    </row>
    <row r="286">
      <c r="A286" t="inlineStr">
        <is>
          <t>L_TA2_ROI</t>
        </is>
      </c>
      <c r="B286" t="n">
        <v>-0.526</v>
      </c>
      <c r="C286" t="n">
        <v>1150</v>
      </c>
      <c r="D286" t="inlineStr">
        <is>
          <t>&lt; .001</t>
        </is>
      </c>
      <c r="E286" t="inlineStr">
        <is>
          <t>[-0.567, -0.483]</t>
        </is>
      </c>
      <c r="F286" t="inlineStr">
        <is>
          <t>&lt; .001</t>
        </is>
      </c>
      <c r="G286" t="inlineStr">
        <is>
          <t>✓</t>
        </is>
      </c>
    </row>
    <row r="287">
      <c r="A287" t="inlineStr">
        <is>
          <t>L_FOP4_ROI</t>
        </is>
      </c>
      <c r="B287" t="n">
        <v>-0.681</v>
      </c>
      <c r="C287" t="n">
        <v>1150</v>
      </c>
      <c r="D287" t="inlineStr">
        <is>
          <t>&lt; .001</t>
        </is>
      </c>
      <c r="E287" t="inlineStr">
        <is>
          <t>[-0.711, -0.649]</t>
        </is>
      </c>
      <c r="F287" t="inlineStr">
        <is>
          <t>&lt; .001</t>
        </is>
      </c>
      <c r="G287" t="inlineStr">
        <is>
          <t>✓</t>
        </is>
      </c>
    </row>
    <row r="288">
      <c r="A288" t="inlineStr">
        <is>
          <t>L_MI_ROI</t>
        </is>
      </c>
      <c r="B288" t="n">
        <v>-0.372</v>
      </c>
      <c r="C288" t="n">
        <v>1150</v>
      </c>
      <c r="D288" t="inlineStr">
        <is>
          <t>&lt; .001</t>
        </is>
      </c>
      <c r="E288" t="inlineStr">
        <is>
          <t>[-0.421, -0.321]</t>
        </is>
      </c>
      <c r="F288" t="inlineStr">
        <is>
          <t>&lt; .001</t>
        </is>
      </c>
      <c r="G288" t="inlineStr">
        <is>
          <t>✓</t>
        </is>
      </c>
    </row>
    <row r="289">
      <c r="A289" t="inlineStr">
        <is>
          <t>L_Pir_ROI</t>
        </is>
      </c>
      <c r="B289" t="n">
        <v>-0.376</v>
      </c>
      <c r="C289" t="n">
        <v>1150</v>
      </c>
      <c r="D289" t="inlineStr">
        <is>
          <t>&lt; .001</t>
        </is>
      </c>
      <c r="E289" t="inlineStr">
        <is>
          <t>[-0.424, -0.325]</t>
        </is>
      </c>
      <c r="F289" t="inlineStr">
        <is>
          <t>&lt; .001</t>
        </is>
      </c>
      <c r="G289" t="inlineStr">
        <is>
          <t>✓</t>
        </is>
      </c>
    </row>
    <row r="290">
      <c r="A290" t="inlineStr">
        <is>
          <t>L_AVI_ROI</t>
        </is>
      </c>
      <c r="B290" t="n">
        <v>-0.525</v>
      </c>
      <c r="C290" t="n">
        <v>1150</v>
      </c>
      <c r="D290" t="inlineStr">
        <is>
          <t>&lt; .001</t>
        </is>
      </c>
      <c r="E290" t="inlineStr">
        <is>
          <t>[-0.565, -0.482]</t>
        </is>
      </c>
      <c r="F290" t="inlineStr">
        <is>
          <t>&lt; .001</t>
        </is>
      </c>
      <c r="G290" t="inlineStr">
        <is>
          <t>✓</t>
        </is>
      </c>
    </row>
    <row r="291">
      <c r="A291" t="inlineStr">
        <is>
          <t>L_AAIC_ROI</t>
        </is>
      </c>
      <c r="B291" t="n">
        <v>-0.407</v>
      </c>
      <c r="C291" t="n">
        <v>1150</v>
      </c>
      <c r="D291" t="inlineStr">
        <is>
          <t>&lt; .001</t>
        </is>
      </c>
      <c r="E291" t="inlineStr">
        <is>
          <t>[-0.454, -0.357]</t>
        </is>
      </c>
      <c r="F291" t="inlineStr">
        <is>
          <t>&lt; .001</t>
        </is>
      </c>
      <c r="G291" t="inlineStr">
        <is>
          <t>✓</t>
        </is>
      </c>
    </row>
    <row r="292">
      <c r="A292" t="inlineStr">
        <is>
          <t>L_FOP1_ROI</t>
        </is>
      </c>
      <c r="B292" t="n">
        <v>-0.527</v>
      </c>
      <c r="C292" t="n">
        <v>1150</v>
      </c>
      <c r="D292" t="inlineStr">
        <is>
          <t>&lt; .001</t>
        </is>
      </c>
      <c r="E292" t="inlineStr">
        <is>
          <t>[-0.567, -0.484]</t>
        </is>
      </c>
      <c r="F292" t="inlineStr">
        <is>
          <t>&lt; .001</t>
        </is>
      </c>
      <c r="G292" t="inlineStr">
        <is>
          <t>✓</t>
        </is>
      </c>
    </row>
    <row r="293">
      <c r="A293" t="inlineStr">
        <is>
          <t>L_FOP3_ROI</t>
        </is>
      </c>
      <c r="B293" t="n">
        <v>-0.549</v>
      </c>
      <c r="C293" t="n">
        <v>1150</v>
      </c>
      <c r="D293" t="inlineStr">
        <is>
          <t>&lt; .001</t>
        </is>
      </c>
      <c r="E293" t="inlineStr">
        <is>
          <t>[-0.588, -0.508]</t>
        </is>
      </c>
      <c r="F293" t="inlineStr">
        <is>
          <t>&lt; .001</t>
        </is>
      </c>
      <c r="G293" t="inlineStr">
        <is>
          <t>✓</t>
        </is>
      </c>
    </row>
    <row r="294">
      <c r="A294" t="inlineStr">
        <is>
          <t>L_FOP2_ROI</t>
        </is>
      </c>
      <c r="B294" t="n">
        <v>-0.5620000000000001</v>
      </c>
      <c r="C294" t="n">
        <v>1150</v>
      </c>
      <c r="D294" t="inlineStr">
        <is>
          <t>&lt; .001</t>
        </is>
      </c>
      <c r="E294" t="inlineStr">
        <is>
          <t>[-0.601, -0.521]</t>
        </is>
      </c>
      <c r="F294" t="inlineStr">
        <is>
          <t>&lt; .001</t>
        </is>
      </c>
      <c r="G294" t="inlineStr">
        <is>
          <t>✓</t>
        </is>
      </c>
    </row>
    <row r="295">
      <c r="A295" t="inlineStr">
        <is>
          <t>L_PFt_ROI</t>
        </is>
      </c>
      <c r="B295" t="n">
        <v>-0.531</v>
      </c>
      <c r="C295" t="n">
        <v>1150</v>
      </c>
      <c r="D295" t="inlineStr">
        <is>
          <t>&lt; .001</t>
        </is>
      </c>
      <c r="E295" t="inlineStr">
        <is>
          <t>[-0.571, -0.488]</t>
        </is>
      </c>
      <c r="F295" t="inlineStr">
        <is>
          <t>&lt; .001</t>
        </is>
      </c>
      <c r="G295" t="inlineStr">
        <is>
          <t>✓</t>
        </is>
      </c>
    </row>
    <row r="296">
      <c r="A296" t="inlineStr">
        <is>
          <t>L_AIP_ROI</t>
        </is>
      </c>
      <c r="B296" t="n">
        <v>-0.622</v>
      </c>
      <c r="C296" t="n">
        <v>1150</v>
      </c>
      <c r="D296" t="inlineStr">
        <is>
          <t>&lt; .001</t>
        </is>
      </c>
      <c r="E296" t="inlineStr">
        <is>
          <t>[-0.656, -0.585]</t>
        </is>
      </c>
      <c r="F296" t="inlineStr">
        <is>
          <t>&lt; .001</t>
        </is>
      </c>
      <c r="G296" t="inlineStr">
        <is>
          <t>✓</t>
        </is>
      </c>
    </row>
    <row r="297">
      <c r="A297" t="inlineStr">
        <is>
          <t>L_EC_ROI</t>
        </is>
      </c>
      <c r="B297" t="n">
        <v>-0.249</v>
      </c>
      <c r="C297" t="n">
        <v>1150</v>
      </c>
      <c r="D297" t="inlineStr">
        <is>
          <t>&lt; .001</t>
        </is>
      </c>
      <c r="E297" t="inlineStr">
        <is>
          <t>[-0.302, -0.194]</t>
        </is>
      </c>
      <c r="F297" t="inlineStr">
        <is>
          <t>&lt; .001</t>
        </is>
      </c>
      <c r="G297" t="inlineStr">
        <is>
          <t>✓</t>
        </is>
      </c>
    </row>
    <row r="298">
      <c r="A298" t="inlineStr">
        <is>
          <t>L_PreS_ROI</t>
        </is>
      </c>
      <c r="B298" t="n">
        <v>-0.319</v>
      </c>
      <c r="C298" t="n">
        <v>1150</v>
      </c>
      <c r="D298" t="inlineStr">
        <is>
          <t>&lt; .001</t>
        </is>
      </c>
      <c r="E298" t="inlineStr">
        <is>
          <t>[-0.370, -0.267]</t>
        </is>
      </c>
      <c r="F298" t="inlineStr">
        <is>
          <t>&lt; .001</t>
        </is>
      </c>
      <c r="G298" t="inlineStr">
        <is>
          <t>✓</t>
        </is>
      </c>
    </row>
    <row r="299">
      <c r="A299" t="inlineStr">
        <is>
          <t>L_H_ROI</t>
        </is>
      </c>
      <c r="B299" t="n">
        <v>-0.549</v>
      </c>
      <c r="C299" t="n">
        <v>1150</v>
      </c>
      <c r="D299" t="inlineStr">
        <is>
          <t>&lt; .001</t>
        </is>
      </c>
      <c r="E299" t="inlineStr">
        <is>
          <t>[-0.588, -0.508]</t>
        </is>
      </c>
      <c r="F299" t="inlineStr">
        <is>
          <t>&lt; .001</t>
        </is>
      </c>
      <c r="G299" t="inlineStr">
        <is>
          <t>✓</t>
        </is>
      </c>
    </row>
    <row r="300">
      <c r="A300" t="inlineStr">
        <is>
          <t>L_ProS_ROI</t>
        </is>
      </c>
      <c r="B300" t="n">
        <v>-0.5669999999999999</v>
      </c>
      <c r="C300" t="n">
        <v>1150</v>
      </c>
      <c r="D300" t="inlineStr">
        <is>
          <t>&lt; .001</t>
        </is>
      </c>
      <c r="E300" t="inlineStr">
        <is>
          <t>[-0.605, -0.526]</t>
        </is>
      </c>
      <c r="F300" t="inlineStr">
        <is>
          <t>&lt; .001</t>
        </is>
      </c>
      <c r="G300" t="inlineStr">
        <is>
          <t>✓</t>
        </is>
      </c>
    </row>
    <row r="301">
      <c r="A301" t="inlineStr">
        <is>
          <t>L_PeEc_ROI</t>
        </is>
      </c>
      <c r="B301" t="n">
        <v>-0.467</v>
      </c>
      <c r="C301" t="n">
        <v>1150</v>
      </c>
      <c r="D301" t="inlineStr">
        <is>
          <t>&lt; .001</t>
        </is>
      </c>
      <c r="E301" t="inlineStr">
        <is>
          <t>[-0.511, -0.420]</t>
        </is>
      </c>
      <c r="F301" t="inlineStr">
        <is>
          <t>&lt; .001</t>
        </is>
      </c>
      <c r="G301" t="inlineStr">
        <is>
          <t>✓</t>
        </is>
      </c>
    </row>
    <row r="302">
      <c r="A302" t="inlineStr">
        <is>
          <t>L_STGa_ROI</t>
        </is>
      </c>
      <c r="B302" t="n">
        <v>-0.498</v>
      </c>
      <c r="C302" t="n">
        <v>1150</v>
      </c>
      <c r="D302" t="inlineStr">
        <is>
          <t>&lt; .001</t>
        </is>
      </c>
      <c r="E302" t="inlineStr">
        <is>
          <t>[-0.540, -0.453]</t>
        </is>
      </c>
      <c r="F302" t="inlineStr">
        <is>
          <t>&lt; .001</t>
        </is>
      </c>
      <c r="G302" t="inlineStr">
        <is>
          <t>✓</t>
        </is>
      </c>
    </row>
    <row r="303">
      <c r="A303" t="inlineStr">
        <is>
          <t>L_PBelt_ROI</t>
        </is>
      </c>
      <c r="B303" t="n">
        <v>-0.618</v>
      </c>
      <c r="C303" t="n">
        <v>1150</v>
      </c>
      <c r="D303" t="inlineStr">
        <is>
          <t>&lt; .001</t>
        </is>
      </c>
      <c r="E303" t="inlineStr">
        <is>
          <t>[-0.652, -0.581]</t>
        </is>
      </c>
      <c r="F303" t="inlineStr">
        <is>
          <t>&lt; .001</t>
        </is>
      </c>
      <c r="G303" t="inlineStr">
        <is>
          <t>✓</t>
        </is>
      </c>
    </row>
    <row r="304">
      <c r="A304" t="inlineStr">
        <is>
          <t>L_A5_ROI</t>
        </is>
      </c>
      <c r="B304" t="n">
        <v>-0.61</v>
      </c>
      <c r="C304" t="n">
        <v>1150</v>
      </c>
      <c r="D304" t="inlineStr">
        <is>
          <t>&lt; .001</t>
        </is>
      </c>
      <c r="E304" t="inlineStr">
        <is>
          <t>[-0.645, -0.573]</t>
        </is>
      </c>
      <c r="F304" t="inlineStr">
        <is>
          <t>&lt; .001</t>
        </is>
      </c>
      <c r="G304" t="inlineStr">
        <is>
          <t>✓</t>
        </is>
      </c>
    </row>
    <row r="305">
      <c r="A305" t="inlineStr">
        <is>
          <t>L_PHA1_ROI</t>
        </is>
      </c>
      <c r="B305" t="n">
        <v>-0.42</v>
      </c>
      <c r="C305" t="n">
        <v>1150</v>
      </c>
      <c r="D305" t="inlineStr">
        <is>
          <t>&lt; .001</t>
        </is>
      </c>
      <c r="E305" t="inlineStr">
        <is>
          <t>[-0.466, -0.371]</t>
        </is>
      </c>
      <c r="F305" t="inlineStr">
        <is>
          <t>&lt; .001</t>
        </is>
      </c>
      <c r="G305" t="inlineStr">
        <is>
          <t>✓</t>
        </is>
      </c>
    </row>
    <row r="306">
      <c r="A306" t="inlineStr">
        <is>
          <t>L_PHA3_ROI</t>
        </is>
      </c>
      <c r="B306" t="n">
        <v>-0.435</v>
      </c>
      <c r="C306" t="n">
        <v>1150</v>
      </c>
      <c r="D306" t="inlineStr">
        <is>
          <t>&lt; .001</t>
        </is>
      </c>
      <c r="E306" t="inlineStr">
        <is>
          <t>[-0.481, -0.387]</t>
        </is>
      </c>
      <c r="F306" t="inlineStr">
        <is>
          <t>&lt; .001</t>
        </is>
      </c>
      <c r="G306" t="inlineStr">
        <is>
          <t>✓</t>
        </is>
      </c>
    </row>
    <row r="307">
      <c r="A307" t="inlineStr">
        <is>
          <t>L_STSda_ROI</t>
        </is>
      </c>
      <c r="B307" t="n">
        <v>-0.541</v>
      </c>
      <c r="C307" t="n">
        <v>1150</v>
      </c>
      <c r="D307" t="inlineStr">
        <is>
          <t>&lt; .001</t>
        </is>
      </c>
      <c r="E307" t="inlineStr">
        <is>
          <t>[-0.581, -0.499]</t>
        </is>
      </c>
      <c r="F307" t="inlineStr">
        <is>
          <t>&lt; .001</t>
        </is>
      </c>
      <c r="G307" t="inlineStr">
        <is>
          <t>✓</t>
        </is>
      </c>
    </row>
    <row r="308">
      <c r="A308" t="inlineStr">
        <is>
          <t>L_STSdp_ROI</t>
        </is>
      </c>
      <c r="B308" t="n">
        <v>-0.628</v>
      </c>
      <c r="C308" t="n">
        <v>1150</v>
      </c>
      <c r="D308" t="inlineStr">
        <is>
          <t>&lt; .001</t>
        </is>
      </c>
      <c r="E308" t="inlineStr">
        <is>
          <t>[-0.662, -0.592]</t>
        </is>
      </c>
      <c r="F308" t="inlineStr">
        <is>
          <t>&lt; .001</t>
        </is>
      </c>
      <c r="G308" t="inlineStr">
        <is>
          <t>✓</t>
        </is>
      </c>
    </row>
    <row r="309">
      <c r="A309" t="inlineStr">
        <is>
          <t>L_STSvp_ROI</t>
        </is>
      </c>
      <c r="B309" t="n">
        <v>-0.579</v>
      </c>
      <c r="C309" t="n">
        <v>1150</v>
      </c>
      <c r="D309" t="inlineStr">
        <is>
          <t>&lt; .001</t>
        </is>
      </c>
      <c r="E309" t="inlineStr">
        <is>
          <t>[-0.616, -0.539]</t>
        </is>
      </c>
      <c r="F309" t="inlineStr">
        <is>
          <t>&lt; .001</t>
        </is>
      </c>
      <c r="G309" t="inlineStr">
        <is>
          <t>✓</t>
        </is>
      </c>
    </row>
    <row r="310">
      <c r="A310" t="inlineStr">
        <is>
          <t>L_TGd_ROI</t>
        </is>
      </c>
      <c r="B310" t="n">
        <v>-0.571</v>
      </c>
      <c r="C310" t="n">
        <v>1150</v>
      </c>
      <c r="D310" t="inlineStr">
        <is>
          <t>&lt; .001</t>
        </is>
      </c>
      <c r="E310" t="inlineStr">
        <is>
          <t>[-0.609, -0.531]</t>
        </is>
      </c>
      <c r="F310" t="inlineStr">
        <is>
          <t>&lt; .001</t>
        </is>
      </c>
      <c r="G310" t="inlineStr">
        <is>
          <t>✓</t>
        </is>
      </c>
    </row>
    <row r="311">
      <c r="A311" t="inlineStr">
        <is>
          <t>L_TE1a_ROI</t>
        </is>
      </c>
      <c r="B311" t="n">
        <v>-0.555</v>
      </c>
      <c r="C311" t="n">
        <v>1150</v>
      </c>
      <c r="D311" t="inlineStr">
        <is>
          <t>&lt; .001</t>
        </is>
      </c>
      <c r="E311" t="inlineStr">
        <is>
          <t>[-0.593, -0.513]</t>
        </is>
      </c>
      <c r="F311" t="inlineStr">
        <is>
          <t>&lt; .001</t>
        </is>
      </c>
      <c r="G311" t="inlineStr">
        <is>
          <t>✓</t>
        </is>
      </c>
    </row>
    <row r="312">
      <c r="A312" t="inlineStr">
        <is>
          <t>L_TE1p_ROI</t>
        </is>
      </c>
      <c r="B312" t="n">
        <v>-0.554</v>
      </c>
      <c r="C312" t="n">
        <v>1150</v>
      </c>
      <c r="D312" t="inlineStr">
        <is>
          <t>&lt; .001</t>
        </is>
      </c>
      <c r="E312" t="inlineStr">
        <is>
          <t>[-0.592, -0.512]</t>
        </is>
      </c>
      <c r="F312" t="inlineStr">
        <is>
          <t>&lt; .001</t>
        </is>
      </c>
      <c r="G312" t="inlineStr">
        <is>
          <t>✓</t>
        </is>
      </c>
    </row>
    <row r="313">
      <c r="A313" t="inlineStr">
        <is>
          <t>L_TE2a_ROI</t>
        </is>
      </c>
      <c r="B313" t="n">
        <v>-0.353</v>
      </c>
      <c r="C313" t="n">
        <v>1150</v>
      </c>
      <c r="D313" t="inlineStr">
        <is>
          <t>&lt; .001</t>
        </is>
      </c>
      <c r="E313" t="inlineStr">
        <is>
          <t>[-0.403, -0.302]</t>
        </is>
      </c>
      <c r="F313" t="inlineStr">
        <is>
          <t>&lt; .001</t>
        </is>
      </c>
      <c r="G313" t="inlineStr">
        <is>
          <t>✓</t>
        </is>
      </c>
    </row>
    <row r="314">
      <c r="A314" t="inlineStr">
        <is>
          <t>L_TF_ROI</t>
        </is>
      </c>
      <c r="B314" t="n">
        <v>-0.39</v>
      </c>
      <c r="C314" t="n">
        <v>1150</v>
      </c>
      <c r="D314" t="inlineStr">
        <is>
          <t>&lt; .001</t>
        </is>
      </c>
      <c r="E314" t="inlineStr">
        <is>
          <t>[-0.438, -0.340]</t>
        </is>
      </c>
      <c r="F314" t="inlineStr">
        <is>
          <t>&lt; .001</t>
        </is>
      </c>
      <c r="G314" t="inlineStr">
        <is>
          <t>✓</t>
        </is>
      </c>
    </row>
    <row r="315">
      <c r="A315" t="inlineStr">
        <is>
          <t>L_TE2p_ROI</t>
        </is>
      </c>
      <c r="B315" t="n">
        <v>-0.312</v>
      </c>
      <c r="C315" t="n">
        <v>1150</v>
      </c>
      <c r="D315" t="inlineStr">
        <is>
          <t>&lt; .001</t>
        </is>
      </c>
      <c r="E315" t="inlineStr">
        <is>
          <t>[-0.363, -0.259]</t>
        </is>
      </c>
      <c r="F315" t="inlineStr">
        <is>
          <t>&lt; .001</t>
        </is>
      </c>
      <c r="G315" t="inlineStr">
        <is>
          <t>✓</t>
        </is>
      </c>
    </row>
    <row r="316">
      <c r="A316" t="inlineStr">
        <is>
          <t>L_PHT_ROI</t>
        </is>
      </c>
      <c r="B316" t="n">
        <v>-0.538</v>
      </c>
      <c r="C316" t="n">
        <v>1150</v>
      </c>
      <c r="D316" t="inlineStr">
        <is>
          <t>&lt; .001</t>
        </is>
      </c>
      <c r="E316" t="inlineStr">
        <is>
          <t>[-0.578, -0.496]</t>
        </is>
      </c>
      <c r="F316" t="inlineStr">
        <is>
          <t>&lt; .001</t>
        </is>
      </c>
      <c r="G316" t="inlineStr">
        <is>
          <t>✓</t>
        </is>
      </c>
    </row>
    <row r="317">
      <c r="A317" t="inlineStr">
        <is>
          <t>L_PH_ROI</t>
        </is>
      </c>
      <c r="B317" t="n">
        <v>-0.478</v>
      </c>
      <c r="C317" t="n">
        <v>1150</v>
      </c>
      <c r="D317" t="inlineStr">
        <is>
          <t>&lt; .001</t>
        </is>
      </c>
      <c r="E317" t="inlineStr">
        <is>
          <t>[-0.522, -0.433]</t>
        </is>
      </c>
      <c r="F317" t="inlineStr">
        <is>
          <t>&lt; .001</t>
        </is>
      </c>
      <c r="G317" t="inlineStr">
        <is>
          <t>✓</t>
        </is>
      </c>
    </row>
    <row r="318">
      <c r="A318" t="inlineStr">
        <is>
          <t>L_TPOJ1_ROI</t>
        </is>
      </c>
      <c r="B318" t="n">
        <v>-0.626</v>
      </c>
      <c r="C318" t="n">
        <v>1150</v>
      </c>
      <c r="D318" t="inlineStr">
        <is>
          <t>&lt; .001</t>
        </is>
      </c>
      <c r="E318" t="inlineStr">
        <is>
          <t>[-0.660, -0.590]</t>
        </is>
      </c>
      <c r="F318" t="inlineStr">
        <is>
          <t>&lt; .001</t>
        </is>
      </c>
      <c r="G318" t="inlineStr">
        <is>
          <t>✓</t>
        </is>
      </c>
    </row>
    <row r="319">
      <c r="A319" t="inlineStr">
        <is>
          <t>L_TPOJ2_ROI</t>
        </is>
      </c>
      <c r="B319" t="n">
        <v>-0.601</v>
      </c>
      <c r="C319" t="n">
        <v>1150</v>
      </c>
      <c r="D319" t="inlineStr">
        <is>
          <t>&lt; .001</t>
        </is>
      </c>
      <c r="E319" t="inlineStr">
        <is>
          <t>[-0.637, -0.563]</t>
        </is>
      </c>
      <c r="F319" t="inlineStr">
        <is>
          <t>&lt; .001</t>
        </is>
      </c>
      <c r="G319" t="inlineStr">
        <is>
          <t>✓</t>
        </is>
      </c>
    </row>
    <row r="320">
      <c r="A320" t="inlineStr">
        <is>
          <t>L_TPOJ3_ROI</t>
        </is>
      </c>
      <c r="B320" t="n">
        <v>-0.541</v>
      </c>
      <c r="C320" t="n">
        <v>1150</v>
      </c>
      <c r="D320" t="inlineStr">
        <is>
          <t>&lt; .001</t>
        </is>
      </c>
      <c r="E320" t="inlineStr">
        <is>
          <t>[-0.581, -0.499]</t>
        </is>
      </c>
      <c r="F320" t="inlineStr">
        <is>
          <t>&lt; .001</t>
        </is>
      </c>
      <c r="G320" t="inlineStr">
        <is>
          <t>✓</t>
        </is>
      </c>
    </row>
    <row r="321">
      <c r="A321" t="inlineStr">
        <is>
          <t>L_DVT_ROI</t>
        </is>
      </c>
      <c r="B321" t="n">
        <v>-0.607</v>
      </c>
      <c r="C321" t="n">
        <v>1150</v>
      </c>
      <c r="D321" t="inlineStr">
        <is>
          <t>&lt; .001</t>
        </is>
      </c>
      <c r="E321" t="inlineStr">
        <is>
          <t>[-0.642, -0.569]</t>
        </is>
      </c>
      <c r="F321" t="inlineStr">
        <is>
          <t>&lt; .001</t>
        </is>
      </c>
      <c r="G321" t="inlineStr">
        <is>
          <t>✓</t>
        </is>
      </c>
    </row>
    <row r="322">
      <c r="A322" t="inlineStr">
        <is>
          <t>L_PGp_ROI</t>
        </is>
      </c>
      <c r="B322" t="n">
        <v>-0.5580000000000001</v>
      </c>
      <c r="C322" t="n">
        <v>1150</v>
      </c>
      <c r="D322" t="inlineStr">
        <is>
          <t>&lt; .001</t>
        </is>
      </c>
      <c r="E322" t="inlineStr">
        <is>
          <t>[-0.597, -0.517]</t>
        </is>
      </c>
      <c r="F322" t="inlineStr">
        <is>
          <t>&lt; .001</t>
        </is>
      </c>
      <c r="G322" t="inlineStr">
        <is>
          <t>✓</t>
        </is>
      </c>
    </row>
    <row r="323">
      <c r="A323" t="inlineStr">
        <is>
          <t>L_IP2_ROI</t>
        </is>
      </c>
      <c r="B323" t="n">
        <v>-0.5600000000000001</v>
      </c>
      <c r="C323" t="n">
        <v>1150</v>
      </c>
      <c r="D323" t="inlineStr">
        <is>
          <t>&lt; .001</t>
        </is>
      </c>
      <c r="E323" t="inlineStr">
        <is>
          <t>[-0.599, -0.519]</t>
        </is>
      </c>
      <c r="F323" t="inlineStr">
        <is>
          <t>&lt; .001</t>
        </is>
      </c>
      <c r="G323" t="inlineStr">
        <is>
          <t>✓</t>
        </is>
      </c>
    </row>
    <row r="324">
      <c r="A324" t="inlineStr">
        <is>
          <t>L_IP1_ROI</t>
        </is>
      </c>
      <c r="B324" t="n">
        <v>-0.556</v>
      </c>
      <c r="C324" t="n">
        <v>1150</v>
      </c>
      <c r="D324" t="inlineStr">
        <is>
          <t>&lt; .001</t>
        </is>
      </c>
      <c r="E324" t="inlineStr">
        <is>
          <t>[-0.595, -0.515]</t>
        </is>
      </c>
      <c r="F324" t="inlineStr">
        <is>
          <t>&lt; .001</t>
        </is>
      </c>
      <c r="G324" t="inlineStr">
        <is>
          <t>✓</t>
        </is>
      </c>
    </row>
    <row r="325">
      <c r="A325" t="inlineStr">
        <is>
          <t>L_IP0_ROI</t>
        </is>
      </c>
      <c r="B325" t="n">
        <v>-0.505</v>
      </c>
      <c r="C325" t="n">
        <v>1150</v>
      </c>
      <c r="D325" t="inlineStr">
        <is>
          <t>&lt; .001</t>
        </is>
      </c>
      <c r="E325" t="inlineStr">
        <is>
          <t>[-0.547, -0.460]</t>
        </is>
      </c>
      <c r="F325" t="inlineStr">
        <is>
          <t>&lt; .001</t>
        </is>
      </c>
      <c r="G325" t="inlineStr">
        <is>
          <t>✓</t>
        </is>
      </c>
    </row>
    <row r="326">
      <c r="A326" t="inlineStr">
        <is>
          <t>L_PFop_ROI</t>
        </is>
      </c>
      <c r="B326" t="n">
        <v>-0.507</v>
      </c>
      <c r="C326" t="n">
        <v>1150</v>
      </c>
      <c r="D326" t="inlineStr">
        <is>
          <t>&lt; .001</t>
        </is>
      </c>
      <c r="E326" t="inlineStr">
        <is>
          <t>[-0.548, -0.462]</t>
        </is>
      </c>
      <c r="F326" t="inlineStr">
        <is>
          <t>&lt; .001</t>
        </is>
      </c>
      <c r="G326" t="inlineStr">
        <is>
          <t>✓</t>
        </is>
      </c>
    </row>
    <row r="327">
      <c r="A327" t="inlineStr">
        <is>
          <t>L_PF_ROI</t>
        </is>
      </c>
      <c r="B327" t="n">
        <v>-0.615</v>
      </c>
      <c r="C327" t="n">
        <v>1150</v>
      </c>
      <c r="D327" t="inlineStr">
        <is>
          <t>&lt; .001</t>
        </is>
      </c>
      <c r="E327" t="inlineStr">
        <is>
          <t>[-0.650, -0.578]</t>
        </is>
      </c>
      <c r="F327" t="inlineStr">
        <is>
          <t>&lt; .001</t>
        </is>
      </c>
      <c r="G327" t="inlineStr">
        <is>
          <t>✓</t>
        </is>
      </c>
    </row>
    <row r="328">
      <c r="A328" t="inlineStr">
        <is>
          <t>L_PFm_ROI</t>
        </is>
      </c>
      <c r="B328" t="n">
        <v>-0.652</v>
      </c>
      <c r="C328" t="n">
        <v>1150</v>
      </c>
      <c r="D328" t="inlineStr">
        <is>
          <t>&lt; .001</t>
        </is>
      </c>
      <c r="E328" t="inlineStr">
        <is>
          <t>[-0.684, -0.617]</t>
        </is>
      </c>
      <c r="F328" t="inlineStr">
        <is>
          <t>&lt; .001</t>
        </is>
      </c>
      <c r="G328" t="inlineStr">
        <is>
          <t>✓</t>
        </is>
      </c>
    </row>
    <row r="329">
      <c r="A329" t="inlineStr">
        <is>
          <t>L_PGi_ROI</t>
        </is>
      </c>
      <c r="B329" t="n">
        <v>-0.697</v>
      </c>
      <c r="C329" t="n">
        <v>1150</v>
      </c>
      <c r="D329" t="inlineStr">
        <is>
          <t>&lt; .001</t>
        </is>
      </c>
      <c r="E329" t="inlineStr">
        <is>
          <t>[-0.726, -0.666]</t>
        </is>
      </c>
      <c r="F329" t="inlineStr">
        <is>
          <t>&lt; .001</t>
        </is>
      </c>
      <c r="G329" t="inlineStr">
        <is>
          <t>✓</t>
        </is>
      </c>
    </row>
    <row r="330">
      <c r="A330" t="inlineStr">
        <is>
          <t>L_PGs_ROI</t>
        </is>
      </c>
      <c r="B330" t="n">
        <v>-0.656</v>
      </c>
      <c r="C330" t="n">
        <v>1150</v>
      </c>
      <c r="D330" t="inlineStr">
        <is>
          <t>&lt; .001</t>
        </is>
      </c>
      <c r="E330" t="inlineStr">
        <is>
          <t>[-0.688, -0.622]</t>
        </is>
      </c>
      <c r="F330" t="inlineStr">
        <is>
          <t>&lt; .001</t>
        </is>
      </c>
      <c r="G330" t="inlineStr">
        <is>
          <t>✓</t>
        </is>
      </c>
    </row>
    <row r="331">
      <c r="A331" t="inlineStr">
        <is>
          <t>L_V6A_ROI</t>
        </is>
      </c>
      <c r="B331" t="n">
        <v>-0.468</v>
      </c>
      <c r="C331" t="n">
        <v>1150</v>
      </c>
      <c r="D331" t="inlineStr">
        <is>
          <t>&lt; .001</t>
        </is>
      </c>
      <c r="E331" t="inlineStr">
        <is>
          <t>[-0.512, -0.422]</t>
        </is>
      </c>
      <c r="F331" t="inlineStr">
        <is>
          <t>&lt; .001</t>
        </is>
      </c>
      <c r="G331" t="inlineStr">
        <is>
          <t>✓</t>
        </is>
      </c>
    </row>
    <row r="332">
      <c r="A332" t="inlineStr">
        <is>
          <t>L_VMV1_ROI</t>
        </is>
      </c>
      <c r="B332" t="n">
        <v>-0.438</v>
      </c>
      <c r="C332" t="n">
        <v>1150</v>
      </c>
      <c r="D332" t="inlineStr">
        <is>
          <t>&lt; .001</t>
        </is>
      </c>
      <c r="E332" t="inlineStr">
        <is>
          <t>[-0.484, -0.390]</t>
        </is>
      </c>
      <c r="F332" t="inlineStr">
        <is>
          <t>&lt; .001</t>
        </is>
      </c>
      <c r="G332" t="inlineStr">
        <is>
          <t>✓</t>
        </is>
      </c>
    </row>
    <row r="333">
      <c r="A333" t="inlineStr">
        <is>
          <t>L_VMV3_ROI</t>
        </is>
      </c>
      <c r="B333" t="n">
        <v>-0.43</v>
      </c>
      <c r="C333" t="n">
        <v>1150</v>
      </c>
      <c r="D333" t="inlineStr">
        <is>
          <t>&lt; .001</t>
        </is>
      </c>
      <c r="E333" t="inlineStr">
        <is>
          <t>[-0.476, -0.382]</t>
        </is>
      </c>
      <c r="F333" t="inlineStr">
        <is>
          <t>&lt; .001</t>
        </is>
      </c>
      <c r="G333" t="inlineStr">
        <is>
          <t>✓</t>
        </is>
      </c>
    </row>
    <row r="334">
      <c r="A334" t="inlineStr">
        <is>
          <t>L_PHA2_ROI</t>
        </is>
      </c>
      <c r="B334" t="n">
        <v>-0.437</v>
      </c>
      <c r="C334" t="n">
        <v>1150</v>
      </c>
      <c r="D334" t="inlineStr">
        <is>
          <t>&lt; .001</t>
        </is>
      </c>
      <c r="E334" t="inlineStr">
        <is>
          <t>[-0.482, -0.389]</t>
        </is>
      </c>
      <c r="F334" t="inlineStr">
        <is>
          <t>&lt; .001</t>
        </is>
      </c>
      <c r="G334" t="inlineStr">
        <is>
          <t>✓</t>
        </is>
      </c>
    </row>
    <row r="335">
      <c r="A335" t="inlineStr">
        <is>
          <t>L_V4t_ROI</t>
        </is>
      </c>
      <c r="B335" t="n">
        <v>-0.415</v>
      </c>
      <c r="C335" t="n">
        <v>1150</v>
      </c>
      <c r="D335" t="inlineStr">
        <is>
          <t>&lt; .001</t>
        </is>
      </c>
      <c r="E335" t="inlineStr">
        <is>
          <t>[-0.462, -0.366]</t>
        </is>
      </c>
      <c r="F335" t="inlineStr">
        <is>
          <t>&lt; .001</t>
        </is>
      </c>
      <c r="G335" t="inlineStr">
        <is>
          <t>✓</t>
        </is>
      </c>
    </row>
    <row r="336">
      <c r="A336" t="inlineStr">
        <is>
          <t>L_FST_ROI</t>
        </is>
      </c>
      <c r="B336" t="n">
        <v>-0.516</v>
      </c>
      <c r="C336" t="n">
        <v>1150</v>
      </c>
      <c r="D336" t="inlineStr">
        <is>
          <t>&lt; .001</t>
        </is>
      </c>
      <c r="E336" t="inlineStr">
        <is>
          <t>[-0.557, -0.473]</t>
        </is>
      </c>
      <c r="F336" t="inlineStr">
        <is>
          <t>&lt; .001</t>
        </is>
      </c>
      <c r="G336" t="inlineStr">
        <is>
          <t>✓</t>
        </is>
      </c>
    </row>
    <row r="337">
      <c r="A337" t="inlineStr">
        <is>
          <t>L_V3CD_ROI</t>
        </is>
      </c>
      <c r="B337" t="n">
        <v>-0.528</v>
      </c>
      <c r="C337" t="n">
        <v>1150</v>
      </c>
      <c r="D337" t="inlineStr">
        <is>
          <t>&lt; .001</t>
        </is>
      </c>
      <c r="E337" t="inlineStr">
        <is>
          <t>[-0.569, -0.485]</t>
        </is>
      </c>
      <c r="F337" t="inlineStr">
        <is>
          <t>&lt; .001</t>
        </is>
      </c>
      <c r="G337" t="inlineStr">
        <is>
          <t>✓</t>
        </is>
      </c>
    </row>
    <row r="338">
      <c r="A338" t="inlineStr">
        <is>
          <t>L_LO3_ROI</t>
        </is>
      </c>
      <c r="B338" t="n">
        <v>-0.479</v>
      </c>
      <c r="C338" t="n">
        <v>1150</v>
      </c>
      <c r="D338" t="inlineStr">
        <is>
          <t>&lt; .001</t>
        </is>
      </c>
      <c r="E338" t="inlineStr">
        <is>
          <t>[-0.523, -0.433]</t>
        </is>
      </c>
      <c r="F338" t="inlineStr">
        <is>
          <t>&lt; .001</t>
        </is>
      </c>
      <c r="G338" t="inlineStr">
        <is>
          <t>✓</t>
        </is>
      </c>
    </row>
    <row r="339">
      <c r="A339" t="inlineStr">
        <is>
          <t>L_VMV2_ROI</t>
        </is>
      </c>
      <c r="B339" t="n">
        <v>-0.583</v>
      </c>
      <c r="C339" t="n">
        <v>1150</v>
      </c>
      <c r="D339" t="inlineStr">
        <is>
          <t>&lt; .001</t>
        </is>
      </c>
      <c r="E339" t="inlineStr">
        <is>
          <t>[-0.620, -0.544]</t>
        </is>
      </c>
      <c r="F339" t="inlineStr">
        <is>
          <t>&lt; .001</t>
        </is>
      </c>
      <c r="G339" t="inlineStr">
        <is>
          <t>✓</t>
        </is>
      </c>
    </row>
    <row r="340">
      <c r="A340" t="inlineStr">
        <is>
          <t>L_31pd_ROI</t>
        </is>
      </c>
      <c r="B340" t="n">
        <v>-0.541</v>
      </c>
      <c r="C340" t="n">
        <v>1150</v>
      </c>
      <c r="D340" t="inlineStr">
        <is>
          <t>&lt; .001</t>
        </is>
      </c>
      <c r="E340" t="inlineStr">
        <is>
          <t>[-0.580, -0.498]</t>
        </is>
      </c>
      <c r="F340" t="inlineStr">
        <is>
          <t>&lt; .001</t>
        </is>
      </c>
      <c r="G340" t="inlineStr">
        <is>
          <t>✓</t>
        </is>
      </c>
    </row>
    <row r="341">
      <c r="A341" t="inlineStr">
        <is>
          <t>L_31a_ROI</t>
        </is>
      </c>
      <c r="B341" t="n">
        <v>-0.412</v>
      </c>
      <c r="C341" t="n">
        <v>1150</v>
      </c>
      <c r="D341" t="inlineStr">
        <is>
          <t>&lt; .001</t>
        </is>
      </c>
      <c r="E341" t="inlineStr">
        <is>
          <t>[-0.459, -0.363]</t>
        </is>
      </c>
      <c r="F341" t="inlineStr">
        <is>
          <t>&lt; .001</t>
        </is>
      </c>
      <c r="G341" t="inlineStr">
        <is>
          <t>✓</t>
        </is>
      </c>
    </row>
    <row r="342">
      <c r="A342" t="inlineStr">
        <is>
          <t>L_VVC_ROI</t>
        </is>
      </c>
      <c r="B342" t="n">
        <v>-0.417</v>
      </c>
      <c r="C342" t="n">
        <v>1150</v>
      </c>
      <c r="D342" t="inlineStr">
        <is>
          <t>&lt; .001</t>
        </is>
      </c>
      <c r="E342" t="inlineStr">
        <is>
          <t>[-0.464, -0.368]</t>
        </is>
      </c>
      <c r="F342" t="inlineStr">
        <is>
          <t>&lt; .001</t>
        </is>
      </c>
      <c r="G342" t="inlineStr">
        <is>
          <t>✓</t>
        </is>
      </c>
    </row>
    <row r="343">
      <c r="A343" t="inlineStr">
        <is>
          <t>L_25_ROI</t>
        </is>
      </c>
      <c r="B343" t="n">
        <v>-0.213</v>
      </c>
      <c r="C343" t="n">
        <v>1150</v>
      </c>
      <c r="D343" t="inlineStr">
        <is>
          <t>&lt; .001</t>
        </is>
      </c>
      <c r="E343" t="inlineStr">
        <is>
          <t>[-0.268, -0.158]</t>
        </is>
      </c>
      <c r="F343" t="inlineStr">
        <is>
          <t>&lt; .001</t>
        </is>
      </c>
      <c r="G343" t="inlineStr">
        <is>
          <t>✓</t>
        </is>
      </c>
    </row>
    <row r="344">
      <c r="A344" t="inlineStr">
        <is>
          <t>L_s32_ROI</t>
        </is>
      </c>
      <c r="B344" t="n">
        <v>0.098</v>
      </c>
      <c r="C344" t="n">
        <v>1150</v>
      </c>
      <c r="D344" t="inlineStr">
        <is>
          <t>&lt; .001</t>
        </is>
      </c>
      <c r="E344" t="inlineStr">
        <is>
          <t>[0.041, 0.155]</t>
        </is>
      </c>
      <c r="F344" t="inlineStr">
        <is>
          <t>&lt; .001</t>
        </is>
      </c>
      <c r="G344" t="inlineStr">
        <is>
          <t>✓</t>
        </is>
      </c>
    </row>
    <row r="345">
      <c r="A345" t="inlineStr">
        <is>
          <t>L_pOFC_ROI</t>
        </is>
      </c>
      <c r="B345" t="n">
        <v>-0.236</v>
      </c>
      <c r="C345" t="n">
        <v>1150</v>
      </c>
      <c r="D345" t="inlineStr">
        <is>
          <t>&lt; .001</t>
        </is>
      </c>
      <c r="E345" t="inlineStr">
        <is>
          <t>[-0.289, -0.180]</t>
        </is>
      </c>
      <c r="F345" t="inlineStr">
        <is>
          <t>&lt; .001</t>
        </is>
      </c>
      <c r="G345" t="inlineStr">
        <is>
          <t>✓</t>
        </is>
      </c>
    </row>
    <row r="346">
      <c r="A346" t="inlineStr">
        <is>
          <t>L_PoI1_ROI</t>
        </is>
      </c>
      <c r="B346" t="n">
        <v>-0.323</v>
      </c>
      <c r="C346" t="n">
        <v>1150</v>
      </c>
      <c r="D346" t="inlineStr">
        <is>
          <t>&lt; .001</t>
        </is>
      </c>
      <c r="E346" t="inlineStr">
        <is>
          <t>[-0.374, -0.271]</t>
        </is>
      </c>
      <c r="F346" t="inlineStr">
        <is>
          <t>&lt; .001</t>
        </is>
      </c>
      <c r="G346" t="inlineStr">
        <is>
          <t>✓</t>
        </is>
      </c>
    </row>
    <row r="347">
      <c r="A347" t="inlineStr">
        <is>
          <t>L_Ig_ROI</t>
        </is>
      </c>
      <c r="B347" t="n">
        <v>-0.415</v>
      </c>
      <c r="C347" t="n">
        <v>1150</v>
      </c>
      <c r="D347" t="inlineStr">
        <is>
          <t>&lt; .001</t>
        </is>
      </c>
      <c r="E347" t="inlineStr">
        <is>
          <t>[-0.462, -0.366]</t>
        </is>
      </c>
      <c r="F347" t="inlineStr">
        <is>
          <t>&lt; .001</t>
        </is>
      </c>
      <c r="G347" t="inlineStr">
        <is>
          <t>✓</t>
        </is>
      </c>
    </row>
    <row r="348">
      <c r="A348" t="inlineStr">
        <is>
          <t>L_FOP5_ROI</t>
        </is>
      </c>
      <c r="B348" t="n">
        <v>-0.607</v>
      </c>
      <c r="C348" t="n">
        <v>1150</v>
      </c>
      <c r="D348" t="inlineStr">
        <is>
          <t>&lt; .001</t>
        </is>
      </c>
      <c r="E348" t="inlineStr">
        <is>
          <t>[-0.643, -0.570]</t>
        </is>
      </c>
      <c r="F348" t="inlineStr">
        <is>
          <t>&lt; .001</t>
        </is>
      </c>
      <c r="G348" t="inlineStr">
        <is>
          <t>✓</t>
        </is>
      </c>
    </row>
    <row r="349">
      <c r="A349" t="inlineStr">
        <is>
          <t>L_p10p_ROI</t>
        </is>
      </c>
      <c r="B349" t="n">
        <v>-0.445</v>
      </c>
      <c r="C349" t="n">
        <v>1150</v>
      </c>
      <c r="D349" t="inlineStr">
        <is>
          <t>&lt; .001</t>
        </is>
      </c>
      <c r="E349" t="inlineStr">
        <is>
          <t>[-0.491, -0.398]</t>
        </is>
      </c>
      <c r="F349" t="inlineStr">
        <is>
          <t>&lt; .001</t>
        </is>
      </c>
      <c r="G349" t="inlineStr">
        <is>
          <t>✓</t>
        </is>
      </c>
    </row>
    <row r="350">
      <c r="A350" t="inlineStr">
        <is>
          <t>L_p47r_ROI</t>
        </is>
      </c>
      <c r="B350" t="n">
        <v>-0.504</v>
      </c>
      <c r="C350" t="n">
        <v>1150</v>
      </c>
      <c r="D350" t="inlineStr">
        <is>
          <t>&lt; .001</t>
        </is>
      </c>
      <c r="E350" t="inlineStr">
        <is>
          <t>[-0.546, -0.460]</t>
        </is>
      </c>
      <c r="F350" t="inlineStr">
        <is>
          <t>&lt; .001</t>
        </is>
      </c>
      <c r="G350" t="inlineStr">
        <is>
          <t>✓</t>
        </is>
      </c>
    </row>
    <row r="351">
      <c r="A351" t="inlineStr">
        <is>
          <t>L_TGv_ROI</t>
        </is>
      </c>
      <c r="B351" t="n">
        <v>-0.349</v>
      </c>
      <c r="C351" t="n">
        <v>1150</v>
      </c>
      <c r="D351" t="inlineStr">
        <is>
          <t>&lt; .001</t>
        </is>
      </c>
      <c r="E351" t="inlineStr">
        <is>
          <t>[-0.399, -0.298]</t>
        </is>
      </c>
      <c r="F351" t="inlineStr">
        <is>
          <t>&lt; .001</t>
        </is>
      </c>
      <c r="G351" t="inlineStr">
        <is>
          <t>✓</t>
        </is>
      </c>
    </row>
    <row r="352">
      <c r="A352" t="inlineStr">
        <is>
          <t>L_MBelt_ROI</t>
        </is>
      </c>
      <c r="B352" t="n">
        <v>-0.604</v>
      </c>
      <c r="C352" t="n">
        <v>1150</v>
      </c>
      <c r="D352" t="inlineStr">
        <is>
          <t>&lt; .001</t>
        </is>
      </c>
      <c r="E352" t="inlineStr">
        <is>
          <t>[-0.639, -0.566]</t>
        </is>
      </c>
      <c r="F352" t="inlineStr">
        <is>
          <t>&lt; .001</t>
        </is>
      </c>
      <c r="G352" t="inlineStr">
        <is>
          <t>✓</t>
        </is>
      </c>
    </row>
    <row r="353">
      <c r="A353" t="inlineStr">
        <is>
          <t>L_LBelt_ROI</t>
        </is>
      </c>
      <c r="B353" t="n">
        <v>-0.649</v>
      </c>
      <c r="C353" t="n">
        <v>1150</v>
      </c>
      <c r="D353" t="inlineStr">
        <is>
          <t>&lt; .001</t>
        </is>
      </c>
      <c r="E353" t="inlineStr">
        <is>
          <t>[-0.682, -0.615]</t>
        </is>
      </c>
      <c r="F353" t="inlineStr">
        <is>
          <t>&lt; .001</t>
        </is>
      </c>
      <c r="G353" t="inlineStr">
        <is>
          <t>✓</t>
        </is>
      </c>
    </row>
    <row r="354">
      <c r="A354" t="inlineStr">
        <is>
          <t>L_A4_ROI</t>
        </is>
      </c>
      <c r="B354" t="n">
        <v>-0.607</v>
      </c>
      <c r="C354" t="n">
        <v>1150</v>
      </c>
      <c r="D354" t="inlineStr">
        <is>
          <t>&lt; .001</t>
        </is>
      </c>
      <c r="E354" t="inlineStr">
        <is>
          <t>[-0.642, -0.569]</t>
        </is>
      </c>
      <c r="F354" t="inlineStr">
        <is>
          <t>&lt; .001</t>
        </is>
      </c>
      <c r="G354" t="inlineStr">
        <is>
          <t>✓</t>
        </is>
      </c>
    </row>
    <row r="355">
      <c r="A355" t="inlineStr">
        <is>
          <t>L_STSva_ROI</t>
        </is>
      </c>
      <c r="B355" t="n">
        <v>-0.487</v>
      </c>
      <c r="C355" t="n">
        <v>1150</v>
      </c>
      <c r="D355" t="inlineStr">
        <is>
          <t>&lt; .001</t>
        </is>
      </c>
      <c r="E355" t="inlineStr">
        <is>
          <t>[-0.530, -0.441]</t>
        </is>
      </c>
      <c r="F355" t="inlineStr">
        <is>
          <t>&lt; .001</t>
        </is>
      </c>
      <c r="G355" t="inlineStr">
        <is>
          <t>✓</t>
        </is>
      </c>
    </row>
    <row r="356">
      <c r="A356" t="inlineStr">
        <is>
          <t>L_TE1m_ROI</t>
        </is>
      </c>
      <c r="B356" t="n">
        <v>-0.498</v>
      </c>
      <c r="C356" t="n">
        <v>1150</v>
      </c>
      <c r="D356" t="inlineStr">
        <is>
          <t>&lt; .001</t>
        </is>
      </c>
      <c r="E356" t="inlineStr">
        <is>
          <t>[-0.540, -0.453]</t>
        </is>
      </c>
      <c r="F356" t="inlineStr">
        <is>
          <t>&lt; .001</t>
        </is>
      </c>
      <c r="G356" t="inlineStr">
        <is>
          <t>✓</t>
        </is>
      </c>
    </row>
    <row r="357">
      <c r="A357" t="inlineStr">
        <is>
          <t>L_PI_ROI</t>
        </is>
      </c>
      <c r="B357" t="n">
        <v>-0.5649999999999999</v>
      </c>
      <c r="C357" t="n">
        <v>1150</v>
      </c>
      <c r="D357" t="inlineStr">
        <is>
          <t>&lt; .001</t>
        </is>
      </c>
      <c r="E357" t="inlineStr">
        <is>
          <t>[-0.603, -0.524]</t>
        </is>
      </c>
      <c r="F357" t="inlineStr">
        <is>
          <t>&lt; .001</t>
        </is>
      </c>
      <c r="G357" t="inlineStr">
        <is>
          <t>✓</t>
        </is>
      </c>
    </row>
    <row r="358">
      <c r="A358" t="inlineStr">
        <is>
          <t>L_a32pr_ROI</t>
        </is>
      </c>
      <c r="B358" t="n">
        <v>-0.626</v>
      </c>
      <c r="C358" t="n">
        <v>1150</v>
      </c>
      <c r="D358" t="inlineStr">
        <is>
          <t>&lt; .001</t>
        </is>
      </c>
      <c r="E358" t="inlineStr">
        <is>
          <t>[-0.660, -0.590]</t>
        </is>
      </c>
      <c r="F358" t="inlineStr">
        <is>
          <t>&lt; .001</t>
        </is>
      </c>
      <c r="G358" t="inlineStr">
        <is>
          <t>✓</t>
        </is>
      </c>
    </row>
    <row r="359">
      <c r="A359" t="inlineStr">
        <is>
          <t>L_p24_ROI</t>
        </is>
      </c>
      <c r="B359" t="n">
        <v>-0.323</v>
      </c>
      <c r="C359" t="n">
        <v>1150</v>
      </c>
      <c r="D359" t="inlineStr">
        <is>
          <t>&lt; .001</t>
        </is>
      </c>
      <c r="E359" t="inlineStr">
        <is>
          <t>[-0.374, -0.270]</t>
        </is>
      </c>
      <c r="F359" t="inlineStr">
        <is>
          <t>&lt; .001</t>
        </is>
      </c>
      <c r="G359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r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95% CI [r]</t>
        </is>
      </c>
      <c r="F1" s="1" t="inlineStr">
        <is>
          <t>p_FDR</t>
        </is>
      </c>
      <c r="G1" s="1" t="inlineStr">
        <is>
          <t>FDR sig.</t>
        </is>
      </c>
    </row>
    <row r="2">
      <c r="A2" t="inlineStr">
        <is>
          <t>R_V1_ROI</t>
        </is>
      </c>
      <c r="B2" t="n">
        <v>-0.439</v>
      </c>
      <c r="C2" t="n">
        <v>1150</v>
      </c>
      <c r="D2" t="inlineStr">
        <is>
          <t>&lt; .001</t>
        </is>
      </c>
      <c r="E2" t="inlineStr">
        <is>
          <t>[-0.484, -0.391]</t>
        </is>
      </c>
      <c r="F2" t="inlineStr">
        <is>
          <t>&lt; .001</t>
        </is>
      </c>
      <c r="G2" t="inlineStr">
        <is>
          <t>✓</t>
        </is>
      </c>
    </row>
    <row r="3">
      <c r="A3" t="inlineStr">
        <is>
          <t>R_MST_ROI</t>
        </is>
      </c>
      <c r="B3" t="n">
        <v>-0.306</v>
      </c>
      <c r="C3" t="n">
        <v>1150</v>
      </c>
      <c r="D3" t="inlineStr">
        <is>
          <t>&lt; .001</t>
        </is>
      </c>
      <c r="E3" t="inlineStr">
        <is>
          <t>[-0.358, -0.253]</t>
        </is>
      </c>
      <c r="F3" t="inlineStr">
        <is>
          <t>&lt; .001</t>
        </is>
      </c>
      <c r="G3" t="inlineStr">
        <is>
          <t>✓</t>
        </is>
      </c>
    </row>
    <row r="4">
      <c r="A4" t="inlineStr">
        <is>
          <t>R_V6_ROI</t>
        </is>
      </c>
      <c r="B4" t="n">
        <v>-0.382</v>
      </c>
      <c r="C4" t="n">
        <v>1150</v>
      </c>
      <c r="D4" t="inlineStr">
        <is>
          <t>&lt; .001</t>
        </is>
      </c>
      <c r="E4" t="inlineStr">
        <is>
          <t>[-0.431, -0.332]</t>
        </is>
      </c>
      <c r="F4" t="inlineStr">
        <is>
          <t>&lt; .001</t>
        </is>
      </c>
      <c r="G4" t="inlineStr">
        <is>
          <t>✓</t>
        </is>
      </c>
    </row>
    <row r="5">
      <c r="A5" t="inlineStr">
        <is>
          <t>R_V2_ROI</t>
        </is>
      </c>
      <c r="B5" t="n">
        <v>-0.393</v>
      </c>
      <c r="C5" t="n">
        <v>1150</v>
      </c>
      <c r="D5" t="inlineStr">
        <is>
          <t>&lt; .001</t>
        </is>
      </c>
      <c r="E5" t="inlineStr">
        <is>
          <t>[-0.441, -0.343]</t>
        </is>
      </c>
      <c r="F5" t="inlineStr">
        <is>
          <t>&lt; .001</t>
        </is>
      </c>
      <c r="G5" t="inlineStr">
        <is>
          <t>✓</t>
        </is>
      </c>
    </row>
    <row r="6">
      <c r="A6" t="inlineStr">
        <is>
          <t>R_V3_ROI</t>
        </is>
      </c>
      <c r="B6" t="n">
        <v>-0.341</v>
      </c>
      <c r="C6" t="n">
        <v>1150</v>
      </c>
      <c r="D6" t="inlineStr">
        <is>
          <t>&lt; .001</t>
        </is>
      </c>
      <c r="E6" t="inlineStr">
        <is>
          <t>[-0.391, -0.289]</t>
        </is>
      </c>
      <c r="F6" t="inlineStr">
        <is>
          <t>&lt; .001</t>
        </is>
      </c>
      <c r="G6" t="inlineStr">
        <is>
          <t>✓</t>
        </is>
      </c>
    </row>
    <row r="7">
      <c r="A7" t="inlineStr">
        <is>
          <t>R_V4_ROI</t>
        </is>
      </c>
      <c r="B7" t="n">
        <v>-0.401</v>
      </c>
      <c r="C7" t="n">
        <v>1150</v>
      </c>
      <c r="D7" t="inlineStr">
        <is>
          <t>&lt; .001</t>
        </is>
      </c>
      <c r="E7" t="inlineStr">
        <is>
          <t>[-0.448, -0.351]</t>
        </is>
      </c>
      <c r="F7" t="inlineStr">
        <is>
          <t>&lt; .001</t>
        </is>
      </c>
      <c r="G7" t="inlineStr">
        <is>
          <t>✓</t>
        </is>
      </c>
    </row>
    <row r="8">
      <c r="A8" t="inlineStr">
        <is>
          <t>R_V8_ROI</t>
        </is>
      </c>
      <c r="B8" t="n">
        <v>-0.254</v>
      </c>
      <c r="C8" t="n">
        <v>1150</v>
      </c>
      <c r="D8" t="inlineStr">
        <is>
          <t>&lt; .001</t>
        </is>
      </c>
      <c r="E8" t="inlineStr">
        <is>
          <t>[-0.307, -0.199]</t>
        </is>
      </c>
      <c r="F8" t="inlineStr">
        <is>
          <t>&lt; .001</t>
        </is>
      </c>
      <c r="G8" t="inlineStr">
        <is>
          <t>✓</t>
        </is>
      </c>
    </row>
    <row r="9">
      <c r="A9" t="inlineStr">
        <is>
          <t>R_4_ROI</t>
        </is>
      </c>
      <c r="B9" t="n">
        <v>-0.496</v>
      </c>
      <c r="C9" t="n">
        <v>1150</v>
      </c>
      <c r="D9" t="inlineStr">
        <is>
          <t>&lt; .001</t>
        </is>
      </c>
      <c r="E9" t="inlineStr">
        <is>
          <t>[-0.538, -0.451]</t>
        </is>
      </c>
      <c r="F9" t="inlineStr">
        <is>
          <t>&lt; .001</t>
        </is>
      </c>
      <c r="G9" t="inlineStr">
        <is>
          <t>✓</t>
        </is>
      </c>
    </row>
    <row r="10">
      <c r="A10" t="inlineStr">
        <is>
          <t>R_3b_ROI</t>
        </is>
      </c>
      <c r="B10" t="n">
        <v>-0.362</v>
      </c>
      <c r="C10" t="n">
        <v>1150</v>
      </c>
      <c r="D10" t="inlineStr">
        <is>
          <t>&lt; .001</t>
        </is>
      </c>
      <c r="E10" t="inlineStr">
        <is>
          <t>[-0.411, -0.311]</t>
        </is>
      </c>
      <c r="F10" t="inlineStr">
        <is>
          <t>&lt; .001</t>
        </is>
      </c>
      <c r="G10" t="inlineStr">
        <is>
          <t>✓</t>
        </is>
      </c>
    </row>
    <row r="11">
      <c r="A11" t="inlineStr">
        <is>
          <t>R_FEF_ROI</t>
        </is>
      </c>
      <c r="B11" t="n">
        <v>-0.36</v>
      </c>
      <c r="C11" t="n">
        <v>1150</v>
      </c>
      <c r="D11" t="inlineStr">
        <is>
          <t>&lt; .001</t>
        </is>
      </c>
      <c r="E11" t="inlineStr">
        <is>
          <t>[-0.410, -0.309]</t>
        </is>
      </c>
      <c r="F11" t="inlineStr">
        <is>
          <t>&lt; .001</t>
        </is>
      </c>
      <c r="G11" t="inlineStr">
        <is>
          <t>✓</t>
        </is>
      </c>
    </row>
    <row r="12">
      <c r="A12" t="inlineStr">
        <is>
          <t>R_PEF_ROI</t>
        </is>
      </c>
      <c r="B12" t="n">
        <v>-0.253</v>
      </c>
      <c r="C12" t="n">
        <v>1150</v>
      </c>
      <c r="D12" t="inlineStr">
        <is>
          <t>&lt; .001</t>
        </is>
      </c>
      <c r="E12" t="inlineStr">
        <is>
          <t>[-0.306, -0.198]</t>
        </is>
      </c>
      <c r="F12" t="inlineStr">
        <is>
          <t>&lt; .001</t>
        </is>
      </c>
      <c r="G12" t="inlineStr">
        <is>
          <t>✓</t>
        </is>
      </c>
    </row>
    <row r="13">
      <c r="A13" t="inlineStr">
        <is>
          <t>R_55b_ROI</t>
        </is>
      </c>
      <c r="B13" t="n">
        <v>-0.339</v>
      </c>
      <c r="C13" t="n">
        <v>1150</v>
      </c>
      <c r="D13" t="inlineStr">
        <is>
          <t>&lt; .001</t>
        </is>
      </c>
      <c r="E13" t="inlineStr">
        <is>
          <t>[-0.389, -0.287]</t>
        </is>
      </c>
      <c r="F13" t="inlineStr">
        <is>
          <t>&lt; .001</t>
        </is>
      </c>
      <c r="G13" t="inlineStr">
        <is>
          <t>✓</t>
        </is>
      </c>
    </row>
    <row r="14">
      <c r="A14" t="inlineStr">
        <is>
          <t>R_V3A_ROI</t>
        </is>
      </c>
      <c r="B14" t="n">
        <v>-0.361</v>
      </c>
      <c r="C14" t="n">
        <v>1150</v>
      </c>
      <c r="D14" t="inlineStr">
        <is>
          <t>&lt; .001</t>
        </is>
      </c>
      <c r="E14" t="inlineStr">
        <is>
          <t>[-0.410, -0.309]</t>
        </is>
      </c>
      <c r="F14" t="inlineStr">
        <is>
          <t>&lt; .001</t>
        </is>
      </c>
      <c r="G14" t="inlineStr">
        <is>
          <t>✓</t>
        </is>
      </c>
    </row>
    <row r="15">
      <c r="A15" t="inlineStr">
        <is>
          <t>R_RSC_ROI</t>
        </is>
      </c>
      <c r="B15" t="n">
        <v>-0.493</v>
      </c>
      <c r="C15" t="n">
        <v>1150</v>
      </c>
      <c r="D15" t="inlineStr">
        <is>
          <t>&lt; .001</t>
        </is>
      </c>
      <c r="E15" t="inlineStr">
        <is>
          <t>[-0.535, -0.448]</t>
        </is>
      </c>
      <c r="F15" t="inlineStr">
        <is>
          <t>&lt; .001</t>
        </is>
      </c>
      <c r="G15" t="inlineStr">
        <is>
          <t>✓</t>
        </is>
      </c>
    </row>
    <row r="16">
      <c r="A16" t="inlineStr">
        <is>
          <t>R_POS2_ROI</t>
        </is>
      </c>
      <c r="B16" t="n">
        <v>-0.317</v>
      </c>
      <c r="C16" t="n">
        <v>1150</v>
      </c>
      <c r="D16" t="inlineStr">
        <is>
          <t>&lt; .001</t>
        </is>
      </c>
      <c r="E16" t="inlineStr">
        <is>
          <t>[-0.368, -0.264]</t>
        </is>
      </c>
      <c r="F16" t="inlineStr">
        <is>
          <t>&lt; .001</t>
        </is>
      </c>
      <c r="G16" t="inlineStr">
        <is>
          <t>✓</t>
        </is>
      </c>
    </row>
    <row r="17">
      <c r="A17" t="inlineStr">
        <is>
          <t>R_V7_ROI</t>
        </is>
      </c>
      <c r="B17" t="n">
        <v>-0.214</v>
      </c>
      <c r="C17" t="n">
        <v>1150</v>
      </c>
      <c r="D17" t="inlineStr">
        <is>
          <t>&lt; .001</t>
        </is>
      </c>
      <c r="E17" t="inlineStr">
        <is>
          <t>[-0.268, -0.158]</t>
        </is>
      </c>
      <c r="F17" t="inlineStr">
        <is>
          <t>&lt; .001</t>
        </is>
      </c>
      <c r="G17" t="inlineStr">
        <is>
          <t>✓</t>
        </is>
      </c>
    </row>
    <row r="18">
      <c r="A18" t="inlineStr">
        <is>
          <t>R_IPS1_ROI</t>
        </is>
      </c>
      <c r="B18" t="n">
        <v>-0.272</v>
      </c>
      <c r="C18" t="n">
        <v>1150</v>
      </c>
      <c r="D18" t="inlineStr">
        <is>
          <t>&lt; .001</t>
        </is>
      </c>
      <c r="E18" t="inlineStr">
        <is>
          <t>[-0.324, -0.217]</t>
        </is>
      </c>
      <c r="F18" t="inlineStr">
        <is>
          <t>&lt; .001</t>
        </is>
      </c>
      <c r="G18" t="inlineStr">
        <is>
          <t>✓</t>
        </is>
      </c>
    </row>
    <row r="19">
      <c r="A19" t="inlineStr">
        <is>
          <t>R_FFC_ROI</t>
        </is>
      </c>
      <c r="B19" t="n">
        <v>-0.354</v>
      </c>
      <c r="C19" t="n">
        <v>1150</v>
      </c>
      <c r="D19" t="inlineStr">
        <is>
          <t>&lt; .001</t>
        </is>
      </c>
      <c r="E19" t="inlineStr">
        <is>
          <t>[-0.403, -0.302]</t>
        </is>
      </c>
      <c r="F19" t="inlineStr">
        <is>
          <t>&lt; .001</t>
        </is>
      </c>
      <c r="G19" t="inlineStr">
        <is>
          <t>✓</t>
        </is>
      </c>
    </row>
    <row r="20">
      <c r="A20" t="inlineStr">
        <is>
          <t>R_V3B_ROI</t>
        </is>
      </c>
      <c r="B20" t="n">
        <v>-0.272</v>
      </c>
      <c r="C20" t="n">
        <v>1150</v>
      </c>
      <c r="D20" t="inlineStr">
        <is>
          <t>&lt; .001</t>
        </is>
      </c>
      <c r="E20" t="inlineStr">
        <is>
          <t>[-0.325, -0.218]</t>
        </is>
      </c>
      <c r="F20" t="inlineStr">
        <is>
          <t>&lt; .001</t>
        </is>
      </c>
      <c r="G20" t="inlineStr">
        <is>
          <t>✓</t>
        </is>
      </c>
    </row>
    <row r="21">
      <c r="A21" t="inlineStr">
        <is>
          <t>R_LO1_ROI</t>
        </is>
      </c>
      <c r="B21" t="n">
        <v>-0.311</v>
      </c>
      <c r="C21" t="n">
        <v>1150</v>
      </c>
      <c r="D21" t="inlineStr">
        <is>
          <t>&lt; .001</t>
        </is>
      </c>
      <c r="E21" t="inlineStr">
        <is>
          <t>[-0.362, -0.258]</t>
        </is>
      </c>
      <c r="F21" t="inlineStr">
        <is>
          <t>&lt; .001</t>
        </is>
      </c>
      <c r="G21" t="inlineStr">
        <is>
          <t>✓</t>
        </is>
      </c>
    </row>
    <row r="22">
      <c r="A22" t="inlineStr">
        <is>
          <t>R_LO2_ROI</t>
        </is>
      </c>
      <c r="B22" t="n">
        <v>-0.215</v>
      </c>
      <c r="C22" t="n">
        <v>1150</v>
      </c>
      <c r="D22" t="inlineStr">
        <is>
          <t>&lt; .001</t>
        </is>
      </c>
      <c r="E22" t="inlineStr">
        <is>
          <t>[-0.269, -0.159]</t>
        </is>
      </c>
      <c r="F22" t="inlineStr">
        <is>
          <t>&lt; .001</t>
        </is>
      </c>
      <c r="G22" t="inlineStr">
        <is>
          <t>✓</t>
        </is>
      </c>
    </row>
    <row r="23">
      <c r="A23" t="inlineStr">
        <is>
          <t>R_PIT_ROI</t>
        </is>
      </c>
      <c r="B23" t="n">
        <v>-0.25</v>
      </c>
      <c r="C23" t="n">
        <v>1150</v>
      </c>
      <c r="D23" t="inlineStr">
        <is>
          <t>&lt; .001</t>
        </is>
      </c>
      <c r="E23" t="inlineStr">
        <is>
          <t>[-0.304, -0.195]</t>
        </is>
      </c>
      <c r="F23" t="inlineStr">
        <is>
          <t>&lt; .001</t>
        </is>
      </c>
      <c r="G23" t="inlineStr">
        <is>
          <t>✓</t>
        </is>
      </c>
    </row>
    <row r="24">
      <c r="A24" t="inlineStr">
        <is>
          <t>R_MT_ROI</t>
        </is>
      </c>
      <c r="B24" t="n">
        <v>-0.26</v>
      </c>
      <c r="C24" t="n">
        <v>1150</v>
      </c>
      <c r="D24" t="inlineStr">
        <is>
          <t>&lt; .001</t>
        </is>
      </c>
      <c r="E24" t="inlineStr">
        <is>
          <t>[-0.313, -0.205]</t>
        </is>
      </c>
      <c r="F24" t="inlineStr">
        <is>
          <t>&lt; .001</t>
        </is>
      </c>
      <c r="G24" t="inlineStr">
        <is>
          <t>✓</t>
        </is>
      </c>
    </row>
    <row r="25">
      <c r="A25" t="inlineStr">
        <is>
          <t>R_A1_ROI</t>
        </is>
      </c>
      <c r="B25" t="n">
        <v>-0.274</v>
      </c>
      <c r="C25" t="n">
        <v>1150</v>
      </c>
      <c r="D25" t="inlineStr">
        <is>
          <t>&lt; .001</t>
        </is>
      </c>
      <c r="E25" t="inlineStr">
        <is>
          <t>[-0.326, -0.220]</t>
        </is>
      </c>
      <c r="F25" t="inlineStr">
        <is>
          <t>&lt; .001</t>
        </is>
      </c>
      <c r="G25" t="inlineStr">
        <is>
          <t>✓</t>
        </is>
      </c>
    </row>
    <row r="26">
      <c r="A26" t="inlineStr">
        <is>
          <t>R_PSL_ROI</t>
        </is>
      </c>
      <c r="B26" t="n">
        <v>-0.307</v>
      </c>
      <c r="C26" t="n">
        <v>1150</v>
      </c>
      <c r="D26" t="inlineStr">
        <is>
          <t>&lt; .001</t>
        </is>
      </c>
      <c r="E26" t="inlineStr">
        <is>
          <t>[-0.358, -0.254]</t>
        </is>
      </c>
      <c r="F26" t="inlineStr">
        <is>
          <t>&lt; .001</t>
        </is>
      </c>
      <c r="G26" t="inlineStr">
        <is>
          <t>✓</t>
        </is>
      </c>
    </row>
    <row r="27">
      <c r="A27" t="inlineStr">
        <is>
          <t>R_SFL_ROI</t>
        </is>
      </c>
      <c r="B27" t="n">
        <v>-0.341</v>
      </c>
      <c r="C27" t="n">
        <v>1150</v>
      </c>
      <c r="D27" t="inlineStr">
        <is>
          <t>&lt; .001</t>
        </is>
      </c>
      <c r="E27" t="inlineStr">
        <is>
          <t>[-0.391, -0.289]</t>
        </is>
      </c>
      <c r="F27" t="inlineStr">
        <is>
          <t>&lt; .001</t>
        </is>
      </c>
      <c r="G27" t="inlineStr">
        <is>
          <t>✓</t>
        </is>
      </c>
    </row>
    <row r="28">
      <c r="A28" t="inlineStr">
        <is>
          <t>R_PCV_ROI</t>
        </is>
      </c>
      <c r="B28" t="n">
        <v>-0.353</v>
      </c>
      <c r="C28" t="n">
        <v>1150</v>
      </c>
      <c r="D28" t="inlineStr">
        <is>
          <t>&lt; .001</t>
        </is>
      </c>
      <c r="E28" t="inlineStr">
        <is>
          <t>[-0.403, -0.302]</t>
        </is>
      </c>
      <c r="F28" t="inlineStr">
        <is>
          <t>&lt; .001</t>
        </is>
      </c>
      <c r="G28" t="inlineStr">
        <is>
          <t>✓</t>
        </is>
      </c>
    </row>
    <row r="29">
      <c r="A29" t="inlineStr">
        <is>
          <t>R_STV_ROI</t>
        </is>
      </c>
      <c r="B29" t="n">
        <v>-0.355</v>
      </c>
      <c r="C29" t="n">
        <v>1150</v>
      </c>
      <c r="D29" t="inlineStr">
        <is>
          <t>&lt; .001</t>
        </is>
      </c>
      <c r="E29" t="inlineStr">
        <is>
          <t>[-0.405, -0.303]</t>
        </is>
      </c>
      <c r="F29" t="inlineStr">
        <is>
          <t>&lt; .001</t>
        </is>
      </c>
      <c r="G29" t="inlineStr">
        <is>
          <t>✓</t>
        </is>
      </c>
    </row>
    <row r="30">
      <c r="A30" t="inlineStr">
        <is>
          <t>R_7Pm_ROI</t>
        </is>
      </c>
      <c r="B30" t="n">
        <v>-0.249</v>
      </c>
      <c r="C30" t="n">
        <v>1150</v>
      </c>
      <c r="D30" t="inlineStr">
        <is>
          <t>&lt; .001</t>
        </is>
      </c>
      <c r="E30" t="inlineStr">
        <is>
          <t>[-0.303, -0.194]</t>
        </is>
      </c>
      <c r="F30" t="inlineStr">
        <is>
          <t>&lt; .001</t>
        </is>
      </c>
      <c r="G30" t="inlineStr">
        <is>
          <t>✓</t>
        </is>
      </c>
    </row>
    <row r="31">
      <c r="A31" t="inlineStr">
        <is>
          <t>R_7m_ROI</t>
        </is>
      </c>
      <c r="B31" t="n">
        <v>-0.324</v>
      </c>
      <c r="C31" t="n">
        <v>1150</v>
      </c>
      <c r="D31" t="inlineStr">
        <is>
          <t>&lt; .001</t>
        </is>
      </c>
      <c r="E31" t="inlineStr">
        <is>
          <t>[-0.375, -0.271]</t>
        </is>
      </c>
      <c r="F31" t="inlineStr">
        <is>
          <t>&lt; .001</t>
        </is>
      </c>
      <c r="G31" t="inlineStr">
        <is>
          <t>✓</t>
        </is>
      </c>
    </row>
    <row r="32">
      <c r="A32" t="inlineStr">
        <is>
          <t>R_POS1_ROI</t>
        </is>
      </c>
      <c r="B32" t="n">
        <v>-0.377</v>
      </c>
      <c r="C32" t="n">
        <v>1150</v>
      </c>
      <c r="D32" t="inlineStr">
        <is>
          <t>&lt; .001</t>
        </is>
      </c>
      <c r="E32" t="inlineStr">
        <is>
          <t>[-0.425, -0.326]</t>
        </is>
      </c>
      <c r="F32" t="inlineStr">
        <is>
          <t>&lt; .001</t>
        </is>
      </c>
      <c r="G32" t="inlineStr">
        <is>
          <t>✓</t>
        </is>
      </c>
    </row>
    <row r="33">
      <c r="A33" t="inlineStr">
        <is>
          <t>R_23d_ROI</t>
        </is>
      </c>
      <c r="B33" t="n">
        <v>-0.406</v>
      </c>
      <c r="C33" t="n">
        <v>1150</v>
      </c>
      <c r="D33" t="inlineStr">
        <is>
          <t>&lt; .001</t>
        </is>
      </c>
      <c r="E33" t="inlineStr">
        <is>
          <t>[-0.454, -0.357]</t>
        </is>
      </c>
      <c r="F33" t="inlineStr">
        <is>
          <t>&lt; .001</t>
        </is>
      </c>
      <c r="G33" t="inlineStr">
        <is>
          <t>✓</t>
        </is>
      </c>
    </row>
    <row r="34">
      <c r="A34" t="inlineStr">
        <is>
          <t>R_v23ab_ROI</t>
        </is>
      </c>
      <c r="B34" t="n">
        <v>-0.281</v>
      </c>
      <c r="C34" t="n">
        <v>1150</v>
      </c>
      <c r="D34" t="inlineStr">
        <is>
          <t>&lt; .001</t>
        </is>
      </c>
      <c r="E34" t="inlineStr">
        <is>
          <t>[-0.333, -0.226]</t>
        </is>
      </c>
      <c r="F34" t="inlineStr">
        <is>
          <t>&lt; .001</t>
        </is>
      </c>
      <c r="G34" t="inlineStr">
        <is>
          <t>✓</t>
        </is>
      </c>
    </row>
    <row r="35">
      <c r="A35" t="inlineStr">
        <is>
          <t>R_d23ab_ROI</t>
        </is>
      </c>
      <c r="B35" t="n">
        <v>-0.402</v>
      </c>
      <c r="C35" t="n">
        <v>1150</v>
      </c>
      <c r="D35" t="inlineStr">
        <is>
          <t>&lt; .001</t>
        </is>
      </c>
      <c r="E35" t="inlineStr">
        <is>
          <t>[-0.450, -0.353]</t>
        </is>
      </c>
      <c r="F35" t="inlineStr">
        <is>
          <t>&lt; .001</t>
        </is>
      </c>
      <c r="G35" t="inlineStr">
        <is>
          <t>✓</t>
        </is>
      </c>
    </row>
    <row r="36">
      <c r="A36" t="inlineStr">
        <is>
          <t>R_31pv_ROI</t>
        </is>
      </c>
      <c r="B36" t="n">
        <v>-0.413</v>
      </c>
      <c r="C36" t="n">
        <v>1150</v>
      </c>
      <c r="D36" t="inlineStr">
        <is>
          <t>&lt; .001</t>
        </is>
      </c>
      <c r="E36" t="inlineStr">
        <is>
          <t>[-0.460, -0.364]</t>
        </is>
      </c>
      <c r="F36" t="inlineStr">
        <is>
          <t>&lt; .001</t>
        </is>
      </c>
      <c r="G36" t="inlineStr">
        <is>
          <t>✓</t>
        </is>
      </c>
    </row>
    <row r="37">
      <c r="A37" t="inlineStr">
        <is>
          <t>R_5m_ROI</t>
        </is>
      </c>
      <c r="B37" t="n">
        <v>-0.348</v>
      </c>
      <c r="C37" t="n">
        <v>1150</v>
      </c>
      <c r="D37" t="inlineStr">
        <is>
          <t>&lt; .001</t>
        </is>
      </c>
      <c r="E37" t="inlineStr">
        <is>
          <t>[-0.398, -0.296]</t>
        </is>
      </c>
      <c r="F37" t="inlineStr">
        <is>
          <t>&lt; .001</t>
        </is>
      </c>
      <c r="G37" t="inlineStr">
        <is>
          <t>✓</t>
        </is>
      </c>
    </row>
    <row r="38">
      <c r="A38" t="inlineStr">
        <is>
          <t>R_5mv_ROI</t>
        </is>
      </c>
      <c r="B38" t="n">
        <v>-0.304</v>
      </c>
      <c r="C38" t="n">
        <v>1150</v>
      </c>
      <c r="D38" t="inlineStr">
        <is>
          <t>&lt; .001</t>
        </is>
      </c>
      <c r="E38" t="inlineStr">
        <is>
          <t>[-0.355, -0.250]</t>
        </is>
      </c>
      <c r="F38" t="inlineStr">
        <is>
          <t>&lt; .001</t>
        </is>
      </c>
      <c r="G38" t="inlineStr">
        <is>
          <t>✓</t>
        </is>
      </c>
    </row>
    <row r="39">
      <c r="A39" t="inlineStr">
        <is>
          <t>R_23c_ROI</t>
        </is>
      </c>
      <c r="B39" t="n">
        <v>-0.458</v>
      </c>
      <c r="C39" t="n">
        <v>1150</v>
      </c>
      <c r="D39" t="inlineStr">
        <is>
          <t>&lt; .001</t>
        </is>
      </c>
      <c r="E39" t="inlineStr">
        <is>
          <t>[-0.503, -0.412]</t>
        </is>
      </c>
      <c r="F39" t="inlineStr">
        <is>
          <t>&lt; .001</t>
        </is>
      </c>
      <c r="G39" t="inlineStr">
        <is>
          <t>✓</t>
        </is>
      </c>
    </row>
    <row r="40">
      <c r="A40" t="inlineStr">
        <is>
          <t>R_5L_ROI</t>
        </is>
      </c>
      <c r="B40" t="n">
        <v>-0.298</v>
      </c>
      <c r="C40" t="n">
        <v>1150</v>
      </c>
      <c r="D40" t="inlineStr">
        <is>
          <t>&lt; .001</t>
        </is>
      </c>
      <c r="E40" t="inlineStr">
        <is>
          <t>[-0.350, -0.245]</t>
        </is>
      </c>
      <c r="F40" t="inlineStr">
        <is>
          <t>&lt; .001</t>
        </is>
      </c>
      <c r="G40" t="inlineStr">
        <is>
          <t>✓</t>
        </is>
      </c>
    </row>
    <row r="41">
      <c r="A41" t="inlineStr">
        <is>
          <t>R_24dd_ROI</t>
        </is>
      </c>
      <c r="B41" t="n">
        <v>-0.346</v>
      </c>
      <c r="C41" t="n">
        <v>1150</v>
      </c>
      <c r="D41" t="inlineStr">
        <is>
          <t>&lt; .001</t>
        </is>
      </c>
      <c r="E41" t="inlineStr">
        <is>
          <t>[-0.396, -0.294]</t>
        </is>
      </c>
      <c r="F41" t="inlineStr">
        <is>
          <t>&lt; .001</t>
        </is>
      </c>
      <c r="G41" t="inlineStr">
        <is>
          <t>✓</t>
        </is>
      </c>
    </row>
    <row r="42">
      <c r="A42" t="inlineStr">
        <is>
          <t>R_24dv_ROI</t>
        </is>
      </c>
      <c r="B42" t="n">
        <v>-0.364</v>
      </c>
      <c r="C42" t="n">
        <v>1150</v>
      </c>
      <c r="D42" t="inlineStr">
        <is>
          <t>&lt; .001</t>
        </is>
      </c>
      <c r="E42" t="inlineStr">
        <is>
          <t>[-0.413, -0.313]</t>
        </is>
      </c>
      <c r="F42" t="inlineStr">
        <is>
          <t>&lt; .001</t>
        </is>
      </c>
      <c r="G42" t="inlineStr">
        <is>
          <t>✓</t>
        </is>
      </c>
    </row>
    <row r="43">
      <c r="A43" t="inlineStr">
        <is>
          <t>R_7AL_ROI</t>
        </is>
      </c>
      <c r="B43" t="n">
        <v>-0.34</v>
      </c>
      <c r="C43" t="n">
        <v>1150</v>
      </c>
      <c r="D43" t="inlineStr">
        <is>
          <t>&lt; .001</t>
        </is>
      </c>
      <c r="E43" t="inlineStr">
        <is>
          <t>[-0.390, -0.288]</t>
        </is>
      </c>
      <c r="F43" t="inlineStr">
        <is>
          <t>&lt; .001</t>
        </is>
      </c>
      <c r="G43" t="inlineStr">
        <is>
          <t>✓</t>
        </is>
      </c>
    </row>
    <row r="44">
      <c r="A44" t="inlineStr">
        <is>
          <t>R_SCEF_ROI</t>
        </is>
      </c>
      <c r="B44" t="n">
        <v>-0.411</v>
      </c>
      <c r="C44" t="n">
        <v>1150</v>
      </c>
      <c r="D44" t="inlineStr">
        <is>
          <t>&lt; .001</t>
        </is>
      </c>
      <c r="E44" t="inlineStr">
        <is>
          <t>[-0.458, -0.362]</t>
        </is>
      </c>
      <c r="F44" t="inlineStr">
        <is>
          <t>&lt; .001</t>
        </is>
      </c>
      <c r="G44" t="inlineStr">
        <is>
          <t>✓</t>
        </is>
      </c>
    </row>
    <row r="45">
      <c r="A45" t="inlineStr">
        <is>
          <t>R_6ma_ROI</t>
        </is>
      </c>
      <c r="B45" t="n">
        <v>-0.431</v>
      </c>
      <c r="C45" t="n">
        <v>1150</v>
      </c>
      <c r="D45" t="inlineStr">
        <is>
          <t>&lt; .001</t>
        </is>
      </c>
      <c r="E45" t="inlineStr">
        <is>
          <t>[-0.477, -0.383]</t>
        </is>
      </c>
      <c r="F45" t="inlineStr">
        <is>
          <t>&lt; .001</t>
        </is>
      </c>
      <c r="G45" t="inlineStr">
        <is>
          <t>✓</t>
        </is>
      </c>
    </row>
    <row r="46">
      <c r="A46" t="inlineStr">
        <is>
          <t>R_7Am_ROI</t>
        </is>
      </c>
      <c r="B46" t="n">
        <v>-0.394</v>
      </c>
      <c r="C46" t="n">
        <v>1150</v>
      </c>
      <c r="D46" t="inlineStr">
        <is>
          <t>&lt; .001</t>
        </is>
      </c>
      <c r="E46" t="inlineStr">
        <is>
          <t>[-0.442, -0.344]</t>
        </is>
      </c>
      <c r="F46" t="inlineStr">
        <is>
          <t>&lt; .001</t>
        </is>
      </c>
      <c r="G46" t="inlineStr">
        <is>
          <t>✓</t>
        </is>
      </c>
    </row>
    <row r="47">
      <c r="A47" t="inlineStr">
        <is>
          <t>R_7PL_ROI</t>
        </is>
      </c>
      <c r="B47" t="n">
        <v>-0.291</v>
      </c>
      <c r="C47" t="n">
        <v>1150</v>
      </c>
      <c r="D47" t="inlineStr">
        <is>
          <t>&lt; .001</t>
        </is>
      </c>
      <c r="E47" t="inlineStr">
        <is>
          <t>[-0.343, -0.237]</t>
        </is>
      </c>
      <c r="F47" t="inlineStr">
        <is>
          <t>&lt; .001</t>
        </is>
      </c>
      <c r="G47" t="inlineStr">
        <is>
          <t>✓</t>
        </is>
      </c>
    </row>
    <row r="48">
      <c r="A48" t="inlineStr">
        <is>
          <t>R_7PC_ROI</t>
        </is>
      </c>
      <c r="B48" t="n">
        <v>-0.298</v>
      </c>
      <c r="C48" t="n">
        <v>1150</v>
      </c>
      <c r="D48" t="inlineStr">
        <is>
          <t>&lt; .001</t>
        </is>
      </c>
      <c r="E48" t="inlineStr">
        <is>
          <t>[-0.349, -0.244]</t>
        </is>
      </c>
      <c r="F48" t="inlineStr">
        <is>
          <t>&lt; .001</t>
        </is>
      </c>
      <c r="G48" t="inlineStr">
        <is>
          <t>✓</t>
        </is>
      </c>
    </row>
    <row r="49">
      <c r="A49" t="inlineStr">
        <is>
          <t>R_LIPv_ROI</t>
        </is>
      </c>
      <c r="B49" t="n">
        <v>-0.309</v>
      </c>
      <c r="C49" t="n">
        <v>1150</v>
      </c>
      <c r="D49" t="inlineStr">
        <is>
          <t>&lt; .001</t>
        </is>
      </c>
      <c r="E49" t="inlineStr">
        <is>
          <t>[-0.360, -0.256]</t>
        </is>
      </c>
      <c r="F49" t="inlineStr">
        <is>
          <t>&lt; .001</t>
        </is>
      </c>
      <c r="G49" t="inlineStr">
        <is>
          <t>✓</t>
        </is>
      </c>
    </row>
    <row r="50">
      <c r="A50" t="inlineStr">
        <is>
          <t>R_VIP_ROI</t>
        </is>
      </c>
      <c r="B50" t="n">
        <v>-0.337</v>
      </c>
      <c r="C50" t="n">
        <v>1150</v>
      </c>
      <c r="D50" t="inlineStr">
        <is>
          <t>&lt; .001</t>
        </is>
      </c>
      <c r="E50" t="inlineStr">
        <is>
          <t>[-0.388, -0.285]</t>
        </is>
      </c>
      <c r="F50" t="inlineStr">
        <is>
          <t>&lt; .001</t>
        </is>
      </c>
      <c r="G50" t="inlineStr">
        <is>
          <t>✓</t>
        </is>
      </c>
    </row>
    <row r="51">
      <c r="A51" t="inlineStr">
        <is>
          <t>R_MIP_ROI</t>
        </is>
      </c>
      <c r="B51" t="n">
        <v>-0.274</v>
      </c>
      <c r="C51" t="n">
        <v>1150</v>
      </c>
      <c r="D51" t="inlineStr">
        <is>
          <t>&lt; .001</t>
        </is>
      </c>
      <c r="E51" t="inlineStr">
        <is>
          <t>[-0.327, -0.220]</t>
        </is>
      </c>
      <c r="F51" t="inlineStr">
        <is>
          <t>&lt; .001</t>
        </is>
      </c>
      <c r="G51" t="inlineStr">
        <is>
          <t>✓</t>
        </is>
      </c>
    </row>
    <row r="52">
      <c r="A52" t="inlineStr">
        <is>
          <t>R_1_ROI</t>
        </is>
      </c>
      <c r="B52" t="n">
        <v>-0.489</v>
      </c>
      <c r="C52" t="n">
        <v>1150</v>
      </c>
      <c r="D52" t="inlineStr">
        <is>
          <t>&lt; .001</t>
        </is>
      </c>
      <c r="E52" t="inlineStr">
        <is>
          <t>[-0.532, -0.444]</t>
        </is>
      </c>
      <c r="F52" t="inlineStr">
        <is>
          <t>&lt; .001</t>
        </is>
      </c>
      <c r="G52" t="inlineStr">
        <is>
          <t>✓</t>
        </is>
      </c>
    </row>
    <row r="53">
      <c r="A53" t="inlineStr">
        <is>
          <t>R_2_ROI</t>
        </is>
      </c>
      <c r="B53" t="n">
        <v>-0.398</v>
      </c>
      <c r="C53" t="n">
        <v>1150</v>
      </c>
      <c r="D53" t="inlineStr">
        <is>
          <t>&lt; .001</t>
        </is>
      </c>
      <c r="E53" t="inlineStr">
        <is>
          <t>[-0.445, -0.348]</t>
        </is>
      </c>
      <c r="F53" t="inlineStr">
        <is>
          <t>&lt; .001</t>
        </is>
      </c>
      <c r="G53" t="inlineStr">
        <is>
          <t>✓</t>
        </is>
      </c>
    </row>
    <row r="54">
      <c r="A54" t="inlineStr">
        <is>
          <t>R_3a_ROI</t>
        </is>
      </c>
      <c r="B54" t="n">
        <v>-0.298</v>
      </c>
      <c r="C54" t="n">
        <v>1150</v>
      </c>
      <c r="D54" t="inlineStr">
        <is>
          <t>&lt; .001</t>
        </is>
      </c>
      <c r="E54" t="inlineStr">
        <is>
          <t>[-0.350, -0.245]</t>
        </is>
      </c>
      <c r="F54" t="inlineStr">
        <is>
          <t>&lt; .001</t>
        </is>
      </c>
      <c r="G54" t="inlineStr">
        <is>
          <t>✓</t>
        </is>
      </c>
    </row>
    <row r="55">
      <c r="A55" t="inlineStr">
        <is>
          <t>R_6d_ROI</t>
        </is>
      </c>
      <c r="B55" t="n">
        <v>-0.303</v>
      </c>
      <c r="C55" t="n">
        <v>1150</v>
      </c>
      <c r="D55" t="inlineStr">
        <is>
          <t>&lt; .001</t>
        </is>
      </c>
      <c r="E55" t="inlineStr">
        <is>
          <t>[-0.354, -0.249]</t>
        </is>
      </c>
      <c r="F55" t="inlineStr">
        <is>
          <t>&lt; .001</t>
        </is>
      </c>
      <c r="G55" t="inlineStr">
        <is>
          <t>✓</t>
        </is>
      </c>
    </row>
    <row r="56">
      <c r="A56" t="inlineStr">
        <is>
          <t>R_6mp_ROI</t>
        </is>
      </c>
      <c r="B56" t="n">
        <v>-0.351</v>
      </c>
      <c r="C56" t="n">
        <v>1150</v>
      </c>
      <c r="D56" t="inlineStr">
        <is>
          <t>&lt; .001</t>
        </is>
      </c>
      <c r="E56" t="inlineStr">
        <is>
          <t>[-0.401, -0.299]</t>
        </is>
      </c>
      <c r="F56" t="inlineStr">
        <is>
          <t>&lt; .001</t>
        </is>
      </c>
      <c r="G56" t="inlineStr">
        <is>
          <t>✓</t>
        </is>
      </c>
    </row>
    <row r="57">
      <c r="A57" t="inlineStr">
        <is>
          <t>R_6v_ROI</t>
        </is>
      </c>
      <c r="B57" t="n">
        <v>-0.299</v>
      </c>
      <c r="C57" t="n">
        <v>1150</v>
      </c>
      <c r="D57" t="inlineStr">
        <is>
          <t>&lt; .001</t>
        </is>
      </c>
      <c r="E57" t="inlineStr">
        <is>
          <t>[-0.351, -0.246]</t>
        </is>
      </c>
      <c r="F57" t="inlineStr">
        <is>
          <t>&lt; .001</t>
        </is>
      </c>
      <c r="G57" t="inlineStr">
        <is>
          <t>✓</t>
        </is>
      </c>
    </row>
    <row r="58">
      <c r="A58" t="inlineStr">
        <is>
          <t>R_p24pr_ROI</t>
        </is>
      </c>
      <c r="B58" t="n">
        <v>-0.301</v>
      </c>
      <c r="C58" t="n">
        <v>1150</v>
      </c>
      <c r="D58" t="inlineStr">
        <is>
          <t>&lt; .001</t>
        </is>
      </c>
      <c r="E58" t="inlineStr">
        <is>
          <t>[-0.353, -0.248]</t>
        </is>
      </c>
      <c r="F58" t="inlineStr">
        <is>
          <t>&lt; .001</t>
        </is>
      </c>
      <c r="G58" t="inlineStr">
        <is>
          <t>✓</t>
        </is>
      </c>
    </row>
    <row r="59">
      <c r="A59" t="inlineStr">
        <is>
          <t>R_33pr_ROI</t>
        </is>
      </c>
      <c r="B59" t="n">
        <v>-0.359</v>
      </c>
      <c r="C59" t="n">
        <v>1150</v>
      </c>
      <c r="D59" t="inlineStr">
        <is>
          <t>&lt; .001</t>
        </is>
      </c>
      <c r="E59" t="inlineStr">
        <is>
          <t>[-0.409, -0.308]</t>
        </is>
      </c>
      <c r="F59" t="inlineStr">
        <is>
          <t>&lt; .001</t>
        </is>
      </c>
      <c r="G59" t="inlineStr">
        <is>
          <t>✓</t>
        </is>
      </c>
    </row>
    <row r="60">
      <c r="A60" t="inlineStr">
        <is>
          <t>R_a24pr_ROI</t>
        </is>
      </c>
      <c r="B60" t="n">
        <v>-0.161</v>
      </c>
      <c r="C60" t="n">
        <v>1150</v>
      </c>
      <c r="D60" t="inlineStr">
        <is>
          <t>&lt; .001</t>
        </is>
      </c>
      <c r="E60" t="inlineStr">
        <is>
          <t>[-0.217, -0.104]</t>
        </is>
      </c>
      <c r="F60" t="inlineStr">
        <is>
          <t>&lt; .001</t>
        </is>
      </c>
      <c r="G60" t="inlineStr">
        <is>
          <t>✓</t>
        </is>
      </c>
    </row>
    <row r="61">
      <c r="A61" t="inlineStr">
        <is>
          <t>R_p32pr_ROI</t>
        </is>
      </c>
      <c r="B61" t="n">
        <v>-0.412</v>
      </c>
      <c r="C61" t="n">
        <v>1150</v>
      </c>
      <c r="D61" t="inlineStr">
        <is>
          <t>&lt; .001</t>
        </is>
      </c>
      <c r="E61" t="inlineStr">
        <is>
          <t>[-0.459, -0.363]</t>
        </is>
      </c>
      <c r="F61" t="inlineStr">
        <is>
          <t>&lt; .001</t>
        </is>
      </c>
      <c r="G61" t="inlineStr">
        <is>
          <t>✓</t>
        </is>
      </c>
    </row>
    <row r="62">
      <c r="A62" t="inlineStr">
        <is>
          <t>R_a24_ROI</t>
        </is>
      </c>
      <c r="B62" t="n">
        <v>-0.024</v>
      </c>
      <c r="C62" t="n">
        <v>1150</v>
      </c>
      <c r="D62">
        <f> 0.413</f>
        <v/>
      </c>
      <c r="E62" t="inlineStr">
        <is>
          <t>[-0.082, 0.034]</t>
        </is>
      </c>
      <c r="F62">
        <f> 0.415</f>
        <v/>
      </c>
      <c r="G62" t="inlineStr"/>
    </row>
    <row r="63">
      <c r="A63" t="inlineStr">
        <is>
          <t>R_d32_ROI</t>
        </is>
      </c>
      <c r="B63" t="n">
        <v>-0.383</v>
      </c>
      <c r="C63" t="n">
        <v>1150</v>
      </c>
      <c r="D63" t="inlineStr">
        <is>
          <t>&lt; .001</t>
        </is>
      </c>
      <c r="E63" t="inlineStr">
        <is>
          <t>[-0.431, -0.332]</t>
        </is>
      </c>
      <c r="F63" t="inlineStr">
        <is>
          <t>&lt; .001</t>
        </is>
      </c>
      <c r="G63" t="inlineStr">
        <is>
          <t>✓</t>
        </is>
      </c>
    </row>
    <row r="64">
      <c r="A64" t="inlineStr">
        <is>
          <t>R_8BM_ROI</t>
        </is>
      </c>
      <c r="B64" t="n">
        <v>-0.42</v>
      </c>
      <c r="C64" t="n">
        <v>1150</v>
      </c>
      <c r="D64" t="inlineStr">
        <is>
          <t>&lt; .001</t>
        </is>
      </c>
      <c r="E64" t="inlineStr">
        <is>
          <t>[-0.466, -0.371]</t>
        </is>
      </c>
      <c r="F64" t="inlineStr">
        <is>
          <t>&lt; .001</t>
        </is>
      </c>
      <c r="G64" t="inlineStr">
        <is>
          <t>✓</t>
        </is>
      </c>
    </row>
    <row r="65">
      <c r="A65" t="inlineStr">
        <is>
          <t>R_p32_ROI</t>
        </is>
      </c>
      <c r="B65" t="n">
        <v>-0.15</v>
      </c>
      <c r="C65" t="n">
        <v>1150</v>
      </c>
      <c r="D65" t="inlineStr">
        <is>
          <t>&lt; .001</t>
        </is>
      </c>
      <c r="E65" t="inlineStr">
        <is>
          <t>[-0.206, -0.093]</t>
        </is>
      </c>
      <c r="F65" t="inlineStr">
        <is>
          <t>&lt; .001</t>
        </is>
      </c>
      <c r="G65" t="inlineStr">
        <is>
          <t>✓</t>
        </is>
      </c>
    </row>
    <row r="66">
      <c r="A66" t="inlineStr">
        <is>
          <t>R_10r_ROI</t>
        </is>
      </c>
      <c r="B66" t="n">
        <v>-0.066</v>
      </c>
      <c r="C66" t="n">
        <v>1150</v>
      </c>
      <c r="D66">
        <f> 0.026</f>
        <v/>
      </c>
      <c r="E66" t="inlineStr">
        <is>
          <t>[-0.123, -0.008]</t>
        </is>
      </c>
      <c r="F66">
        <f> 0.026</f>
        <v/>
      </c>
      <c r="G66" t="inlineStr">
        <is>
          <t>✓</t>
        </is>
      </c>
    </row>
    <row r="67">
      <c r="A67" t="inlineStr">
        <is>
          <t>R_47m_ROI</t>
        </is>
      </c>
      <c r="B67" t="n">
        <v>-0.289</v>
      </c>
      <c r="C67" t="n">
        <v>1150</v>
      </c>
      <c r="D67" t="inlineStr">
        <is>
          <t>&lt; .001</t>
        </is>
      </c>
      <c r="E67" t="inlineStr">
        <is>
          <t>[-0.341, -0.235]</t>
        </is>
      </c>
      <c r="F67" t="inlineStr">
        <is>
          <t>&lt; .001</t>
        </is>
      </c>
      <c r="G67" t="inlineStr">
        <is>
          <t>✓</t>
        </is>
      </c>
    </row>
    <row r="68">
      <c r="A68" t="inlineStr">
        <is>
          <t>R_8Av_ROI</t>
        </is>
      </c>
      <c r="B68" t="n">
        <v>-0.3</v>
      </c>
      <c r="C68" t="n">
        <v>1150</v>
      </c>
      <c r="D68" t="inlineStr">
        <is>
          <t>&lt; .001</t>
        </is>
      </c>
      <c r="E68" t="inlineStr">
        <is>
          <t>[-0.351, -0.246]</t>
        </is>
      </c>
      <c r="F68" t="inlineStr">
        <is>
          <t>&lt; .001</t>
        </is>
      </c>
      <c r="G68" t="inlineStr">
        <is>
          <t>✓</t>
        </is>
      </c>
    </row>
    <row r="69">
      <c r="A69" t="inlineStr">
        <is>
          <t>R_8Ad_ROI</t>
        </is>
      </c>
      <c r="B69" t="n">
        <v>-0.38</v>
      </c>
      <c r="C69" t="n">
        <v>1150</v>
      </c>
      <c r="D69" t="inlineStr">
        <is>
          <t>&lt; .001</t>
        </is>
      </c>
      <c r="E69" t="inlineStr">
        <is>
          <t>[-0.429, -0.330]</t>
        </is>
      </c>
      <c r="F69" t="inlineStr">
        <is>
          <t>&lt; .001</t>
        </is>
      </c>
      <c r="G69" t="inlineStr">
        <is>
          <t>✓</t>
        </is>
      </c>
    </row>
    <row r="70">
      <c r="A70" t="inlineStr">
        <is>
          <t>R_9m_ROI</t>
        </is>
      </c>
      <c r="B70" t="n">
        <v>-0.278</v>
      </c>
      <c r="C70" t="n">
        <v>1150</v>
      </c>
      <c r="D70" t="inlineStr">
        <is>
          <t>&lt; .001</t>
        </is>
      </c>
      <c r="E70" t="inlineStr">
        <is>
          <t>[-0.331, -0.224]</t>
        </is>
      </c>
      <c r="F70" t="inlineStr">
        <is>
          <t>&lt; .001</t>
        </is>
      </c>
      <c r="G70" t="inlineStr">
        <is>
          <t>✓</t>
        </is>
      </c>
    </row>
    <row r="71">
      <c r="A71" t="inlineStr">
        <is>
          <t>R_8BL_ROI</t>
        </is>
      </c>
      <c r="B71" t="n">
        <v>-0.35</v>
      </c>
      <c r="C71" t="n">
        <v>1150</v>
      </c>
      <c r="D71" t="inlineStr">
        <is>
          <t>&lt; .001</t>
        </is>
      </c>
      <c r="E71" t="inlineStr">
        <is>
          <t>[-0.399, -0.298]</t>
        </is>
      </c>
      <c r="F71" t="inlineStr">
        <is>
          <t>&lt; .001</t>
        </is>
      </c>
      <c r="G71" t="inlineStr">
        <is>
          <t>✓</t>
        </is>
      </c>
    </row>
    <row r="72">
      <c r="A72" t="inlineStr">
        <is>
          <t>R_9p_ROI</t>
        </is>
      </c>
      <c r="B72" t="n">
        <v>-0.333</v>
      </c>
      <c r="C72" t="n">
        <v>1150</v>
      </c>
      <c r="D72" t="inlineStr">
        <is>
          <t>&lt; .001</t>
        </is>
      </c>
      <c r="E72" t="inlineStr">
        <is>
          <t>[-0.383, -0.281]</t>
        </is>
      </c>
      <c r="F72" t="inlineStr">
        <is>
          <t>&lt; .001</t>
        </is>
      </c>
      <c r="G72" t="inlineStr">
        <is>
          <t>✓</t>
        </is>
      </c>
    </row>
    <row r="73">
      <c r="A73" t="inlineStr">
        <is>
          <t>R_10d_ROI</t>
        </is>
      </c>
      <c r="B73" t="n">
        <v>-0.191</v>
      </c>
      <c r="C73" t="n">
        <v>1150</v>
      </c>
      <c r="D73" t="inlineStr">
        <is>
          <t>&lt; .001</t>
        </is>
      </c>
      <c r="E73" t="inlineStr">
        <is>
          <t>[-0.246, -0.134]</t>
        </is>
      </c>
      <c r="F73" t="inlineStr">
        <is>
          <t>&lt; .001</t>
        </is>
      </c>
      <c r="G73" t="inlineStr">
        <is>
          <t>✓</t>
        </is>
      </c>
    </row>
    <row r="74">
      <c r="A74" t="inlineStr">
        <is>
          <t>R_8C_ROI</t>
        </is>
      </c>
      <c r="B74" t="n">
        <v>-0.355</v>
      </c>
      <c r="C74" t="n">
        <v>1150</v>
      </c>
      <c r="D74" t="inlineStr">
        <is>
          <t>&lt; .001</t>
        </is>
      </c>
      <c r="E74" t="inlineStr">
        <is>
          <t>[-0.405, -0.304]</t>
        </is>
      </c>
      <c r="F74" t="inlineStr">
        <is>
          <t>&lt; .001</t>
        </is>
      </c>
      <c r="G74" t="inlineStr">
        <is>
          <t>✓</t>
        </is>
      </c>
    </row>
    <row r="75">
      <c r="A75" t="inlineStr">
        <is>
          <t>R_44_ROI</t>
        </is>
      </c>
      <c r="B75" t="n">
        <v>-0.277</v>
      </c>
      <c r="C75" t="n">
        <v>1150</v>
      </c>
      <c r="D75" t="inlineStr">
        <is>
          <t>&lt; .001</t>
        </is>
      </c>
      <c r="E75" t="inlineStr">
        <is>
          <t>[-0.330, -0.223]</t>
        </is>
      </c>
      <c r="F75" t="inlineStr">
        <is>
          <t>&lt; .001</t>
        </is>
      </c>
      <c r="G75" t="inlineStr">
        <is>
          <t>✓</t>
        </is>
      </c>
    </row>
    <row r="76">
      <c r="A76" t="inlineStr">
        <is>
          <t>R_45_ROI</t>
        </is>
      </c>
      <c r="B76" t="n">
        <v>-0.404</v>
      </c>
      <c r="C76" t="n">
        <v>1150</v>
      </c>
      <c r="D76" t="inlineStr">
        <is>
          <t>&lt; .001</t>
        </is>
      </c>
      <c r="E76" t="inlineStr">
        <is>
          <t>[-0.451, -0.355]</t>
        </is>
      </c>
      <c r="F76" t="inlineStr">
        <is>
          <t>&lt; .001</t>
        </is>
      </c>
      <c r="G76" t="inlineStr">
        <is>
          <t>✓</t>
        </is>
      </c>
    </row>
    <row r="77">
      <c r="A77" t="inlineStr">
        <is>
          <t>R_47l_ROI</t>
        </is>
      </c>
      <c r="B77" t="n">
        <v>-0.38</v>
      </c>
      <c r="C77" t="n">
        <v>1150</v>
      </c>
      <c r="D77" t="inlineStr">
        <is>
          <t>&lt; .001</t>
        </is>
      </c>
      <c r="E77" t="inlineStr">
        <is>
          <t>[-0.428, -0.329]</t>
        </is>
      </c>
      <c r="F77" t="inlineStr">
        <is>
          <t>&lt; .001</t>
        </is>
      </c>
      <c r="G77" t="inlineStr">
        <is>
          <t>✓</t>
        </is>
      </c>
    </row>
    <row r="78">
      <c r="A78" t="inlineStr">
        <is>
          <t>R_a47r_ROI</t>
        </is>
      </c>
      <c r="B78" t="n">
        <v>-0.355</v>
      </c>
      <c r="C78" t="n">
        <v>1150</v>
      </c>
      <c r="D78" t="inlineStr">
        <is>
          <t>&lt; .001</t>
        </is>
      </c>
      <c r="E78" t="inlineStr">
        <is>
          <t>[-0.405, -0.304]</t>
        </is>
      </c>
      <c r="F78" t="inlineStr">
        <is>
          <t>&lt; .001</t>
        </is>
      </c>
      <c r="G78" t="inlineStr">
        <is>
          <t>✓</t>
        </is>
      </c>
    </row>
    <row r="79">
      <c r="A79" t="inlineStr">
        <is>
          <t>R_6r_ROI</t>
        </is>
      </c>
      <c r="B79" t="n">
        <v>-0.376</v>
      </c>
      <c r="C79" t="n">
        <v>1150</v>
      </c>
      <c r="D79" t="inlineStr">
        <is>
          <t>&lt; .001</t>
        </is>
      </c>
      <c r="E79" t="inlineStr">
        <is>
          <t>[-0.424, -0.325]</t>
        </is>
      </c>
      <c r="F79" t="inlineStr">
        <is>
          <t>&lt; .001</t>
        </is>
      </c>
      <c r="G79" t="inlineStr">
        <is>
          <t>✓</t>
        </is>
      </c>
    </row>
    <row r="80">
      <c r="A80" t="inlineStr">
        <is>
          <t>R_IFJa_ROI</t>
        </is>
      </c>
      <c r="B80" t="n">
        <v>-0.371</v>
      </c>
      <c r="C80" t="n">
        <v>1150</v>
      </c>
      <c r="D80" t="inlineStr">
        <is>
          <t>&lt; .001</t>
        </is>
      </c>
      <c r="E80" t="inlineStr">
        <is>
          <t>[-0.420, -0.320]</t>
        </is>
      </c>
      <c r="F80" t="inlineStr">
        <is>
          <t>&lt; .001</t>
        </is>
      </c>
      <c r="G80" t="inlineStr">
        <is>
          <t>✓</t>
        </is>
      </c>
    </row>
    <row r="81">
      <c r="A81" t="inlineStr">
        <is>
          <t>R_IFJp_ROI</t>
        </is>
      </c>
      <c r="B81" t="n">
        <v>-0.277</v>
      </c>
      <c r="C81" t="n">
        <v>1150</v>
      </c>
      <c r="D81" t="inlineStr">
        <is>
          <t>&lt; .001</t>
        </is>
      </c>
      <c r="E81" t="inlineStr">
        <is>
          <t>[-0.329, -0.222]</t>
        </is>
      </c>
      <c r="F81" t="inlineStr">
        <is>
          <t>&lt; .001</t>
        </is>
      </c>
      <c r="G81" t="inlineStr">
        <is>
          <t>✓</t>
        </is>
      </c>
    </row>
    <row r="82">
      <c r="A82" t="inlineStr">
        <is>
          <t>R_IFSp_ROI</t>
        </is>
      </c>
      <c r="B82" t="n">
        <v>-0.329</v>
      </c>
      <c r="C82" t="n">
        <v>1150</v>
      </c>
      <c r="D82" t="inlineStr">
        <is>
          <t>&lt; .001</t>
        </is>
      </c>
      <c r="E82" t="inlineStr">
        <is>
          <t>[-0.380, -0.276]</t>
        </is>
      </c>
      <c r="F82" t="inlineStr">
        <is>
          <t>&lt; .001</t>
        </is>
      </c>
      <c r="G82" t="inlineStr">
        <is>
          <t>✓</t>
        </is>
      </c>
    </row>
    <row r="83">
      <c r="A83" t="inlineStr">
        <is>
          <t>R_IFSa_ROI</t>
        </is>
      </c>
      <c r="B83" t="n">
        <v>-0.35</v>
      </c>
      <c r="C83" t="n">
        <v>1150</v>
      </c>
      <c r="D83" t="inlineStr">
        <is>
          <t>&lt; .001</t>
        </is>
      </c>
      <c r="E83" t="inlineStr">
        <is>
          <t>[-0.400, -0.298]</t>
        </is>
      </c>
      <c r="F83" t="inlineStr">
        <is>
          <t>&lt; .001</t>
        </is>
      </c>
      <c r="G83" t="inlineStr">
        <is>
          <t>✓</t>
        </is>
      </c>
    </row>
    <row r="84">
      <c r="A84" t="inlineStr">
        <is>
          <t>R_p9_46v_ROI</t>
        </is>
      </c>
      <c r="B84" t="n">
        <v>-0.374</v>
      </c>
      <c r="C84" t="n">
        <v>1150</v>
      </c>
      <c r="D84" t="inlineStr">
        <is>
          <t>&lt; .001</t>
        </is>
      </c>
      <c r="E84" t="inlineStr">
        <is>
          <t>[-0.422, -0.323]</t>
        </is>
      </c>
      <c r="F84" t="inlineStr">
        <is>
          <t>&lt; .001</t>
        </is>
      </c>
      <c r="G84" t="inlineStr">
        <is>
          <t>✓</t>
        </is>
      </c>
    </row>
    <row r="85">
      <c r="A85" t="inlineStr">
        <is>
          <t>R_46_ROI</t>
        </is>
      </c>
      <c r="B85" t="n">
        <v>-0.373</v>
      </c>
      <c r="C85" t="n">
        <v>1150</v>
      </c>
      <c r="D85" t="inlineStr">
        <is>
          <t>&lt; .001</t>
        </is>
      </c>
      <c r="E85" t="inlineStr">
        <is>
          <t>[-0.422, -0.322]</t>
        </is>
      </c>
      <c r="F85" t="inlineStr">
        <is>
          <t>&lt; .001</t>
        </is>
      </c>
      <c r="G85" t="inlineStr">
        <is>
          <t>✓</t>
        </is>
      </c>
    </row>
    <row r="86">
      <c r="A86" t="inlineStr">
        <is>
          <t>R_a9_46v_ROI</t>
        </is>
      </c>
      <c r="B86" t="n">
        <v>-0.34</v>
      </c>
      <c r="C86" t="n">
        <v>1150</v>
      </c>
      <c r="D86" t="inlineStr">
        <is>
          <t>&lt; .001</t>
        </is>
      </c>
      <c r="E86" t="inlineStr">
        <is>
          <t>[-0.391, -0.288]</t>
        </is>
      </c>
      <c r="F86" t="inlineStr">
        <is>
          <t>&lt; .001</t>
        </is>
      </c>
      <c r="G86" t="inlineStr">
        <is>
          <t>✓</t>
        </is>
      </c>
    </row>
    <row r="87">
      <c r="A87" t="inlineStr">
        <is>
          <t>R_9_46d_ROI</t>
        </is>
      </c>
      <c r="B87" t="n">
        <v>-0.362</v>
      </c>
      <c r="C87" t="n">
        <v>1150</v>
      </c>
      <c r="D87" t="inlineStr">
        <is>
          <t>&lt; .001</t>
        </is>
      </c>
      <c r="E87" t="inlineStr">
        <is>
          <t>[-0.411, -0.311]</t>
        </is>
      </c>
      <c r="F87" t="inlineStr">
        <is>
          <t>&lt; .001</t>
        </is>
      </c>
      <c r="G87" t="inlineStr">
        <is>
          <t>✓</t>
        </is>
      </c>
    </row>
    <row r="88">
      <c r="A88" t="inlineStr">
        <is>
          <t>R_9a_ROI</t>
        </is>
      </c>
      <c r="B88" t="n">
        <v>-0.272</v>
      </c>
      <c r="C88" t="n">
        <v>1150</v>
      </c>
      <c r="D88" t="inlineStr">
        <is>
          <t>&lt; .001</t>
        </is>
      </c>
      <c r="E88" t="inlineStr">
        <is>
          <t>[-0.325, -0.218]</t>
        </is>
      </c>
      <c r="F88" t="inlineStr">
        <is>
          <t>&lt; .001</t>
        </is>
      </c>
      <c r="G88" t="inlineStr">
        <is>
          <t>✓</t>
        </is>
      </c>
    </row>
    <row r="89">
      <c r="A89" t="inlineStr">
        <is>
          <t>R_10v_ROI</t>
        </is>
      </c>
      <c r="B89" t="n">
        <v>-0.023</v>
      </c>
      <c r="C89" t="n">
        <v>1150</v>
      </c>
      <c r="D89">
        <f> 0.444</f>
        <v/>
      </c>
      <c r="E89" t="inlineStr">
        <is>
          <t>[-0.080, 0.035]</t>
        </is>
      </c>
      <c r="F89">
        <f> 0.444</f>
        <v/>
      </c>
      <c r="G89" t="inlineStr"/>
    </row>
    <row r="90">
      <c r="A90" t="inlineStr">
        <is>
          <t>R_a10p_ROI</t>
        </is>
      </c>
      <c r="B90" t="n">
        <v>-0.201</v>
      </c>
      <c r="C90" t="n">
        <v>1150</v>
      </c>
      <c r="D90" t="inlineStr">
        <is>
          <t>&lt; .001</t>
        </is>
      </c>
      <c r="E90" t="inlineStr">
        <is>
          <t>[-0.256, -0.145]</t>
        </is>
      </c>
      <c r="F90" t="inlineStr">
        <is>
          <t>&lt; .001</t>
        </is>
      </c>
      <c r="G90" t="inlineStr">
        <is>
          <t>✓</t>
        </is>
      </c>
    </row>
    <row r="91">
      <c r="A91" t="inlineStr">
        <is>
          <t>R_10pp_ROI</t>
        </is>
      </c>
      <c r="B91" t="n">
        <v>-0.19</v>
      </c>
      <c r="C91" t="n">
        <v>1150</v>
      </c>
      <c r="D91" t="inlineStr">
        <is>
          <t>&lt; .001</t>
        </is>
      </c>
      <c r="E91" t="inlineStr">
        <is>
          <t>[-0.245, -0.134]</t>
        </is>
      </c>
      <c r="F91" t="inlineStr">
        <is>
          <t>&lt; .001</t>
        </is>
      </c>
      <c r="G91" t="inlineStr">
        <is>
          <t>✓</t>
        </is>
      </c>
    </row>
    <row r="92">
      <c r="A92" t="inlineStr">
        <is>
          <t>R_11l_ROI</t>
        </is>
      </c>
      <c r="B92" t="n">
        <v>-0.173</v>
      </c>
      <c r="C92" t="n">
        <v>1150</v>
      </c>
      <c r="D92" t="inlineStr">
        <is>
          <t>&lt; .001</t>
        </is>
      </c>
      <c r="E92" t="inlineStr">
        <is>
          <t>[-0.228, -0.116]</t>
        </is>
      </c>
      <c r="F92" t="inlineStr">
        <is>
          <t>&lt; .001</t>
        </is>
      </c>
      <c r="G92" t="inlineStr">
        <is>
          <t>✓</t>
        </is>
      </c>
    </row>
    <row r="93">
      <c r="A93" t="inlineStr">
        <is>
          <t>R_13l_ROI</t>
        </is>
      </c>
      <c r="B93" t="n">
        <v>-0.176</v>
      </c>
      <c r="C93" t="n">
        <v>1150</v>
      </c>
      <c r="D93" t="inlineStr">
        <is>
          <t>&lt; .001</t>
        </is>
      </c>
      <c r="E93" t="inlineStr">
        <is>
          <t>[-0.232, -0.120]</t>
        </is>
      </c>
      <c r="F93" t="inlineStr">
        <is>
          <t>&lt; .001</t>
        </is>
      </c>
      <c r="G93" t="inlineStr">
        <is>
          <t>✓</t>
        </is>
      </c>
    </row>
    <row r="94">
      <c r="A94" t="inlineStr">
        <is>
          <t>R_OFC_ROI</t>
        </is>
      </c>
      <c r="B94" t="n">
        <v>0.146</v>
      </c>
      <c r="C94" t="n">
        <v>1150</v>
      </c>
      <c r="D94" t="inlineStr">
        <is>
          <t>&lt; .001</t>
        </is>
      </c>
      <c r="E94" t="inlineStr">
        <is>
          <t>[0.089, 0.202]</t>
        </is>
      </c>
      <c r="F94" t="inlineStr">
        <is>
          <t>&lt; .001</t>
        </is>
      </c>
      <c r="G94" t="inlineStr">
        <is>
          <t>✓</t>
        </is>
      </c>
    </row>
    <row r="95">
      <c r="A95" t="inlineStr">
        <is>
          <t>R_47s_ROI</t>
        </is>
      </c>
      <c r="B95" t="n">
        <v>-0.267</v>
      </c>
      <c r="C95" t="n">
        <v>1150</v>
      </c>
      <c r="D95" t="inlineStr">
        <is>
          <t>&lt; .001</t>
        </is>
      </c>
      <c r="E95" t="inlineStr">
        <is>
          <t>[-0.319, -0.212]</t>
        </is>
      </c>
      <c r="F95" t="inlineStr">
        <is>
          <t>&lt; .001</t>
        </is>
      </c>
      <c r="G95" t="inlineStr">
        <is>
          <t>✓</t>
        </is>
      </c>
    </row>
    <row r="96">
      <c r="A96" t="inlineStr">
        <is>
          <t>R_LIPd_ROI</t>
        </is>
      </c>
      <c r="B96" t="n">
        <v>-0.269</v>
      </c>
      <c r="C96" t="n">
        <v>1150</v>
      </c>
      <c r="D96" t="inlineStr">
        <is>
          <t>&lt; .001</t>
        </is>
      </c>
      <c r="E96" t="inlineStr">
        <is>
          <t>[-0.321, -0.214]</t>
        </is>
      </c>
      <c r="F96" t="inlineStr">
        <is>
          <t>&lt; .001</t>
        </is>
      </c>
      <c r="G96" t="inlineStr">
        <is>
          <t>✓</t>
        </is>
      </c>
    </row>
    <row r="97">
      <c r="A97" t="inlineStr">
        <is>
          <t>R_6a_ROI</t>
        </is>
      </c>
      <c r="B97" t="n">
        <v>-0.358</v>
      </c>
      <c r="C97" t="n">
        <v>1150</v>
      </c>
      <c r="D97" t="inlineStr">
        <is>
          <t>&lt; .001</t>
        </is>
      </c>
      <c r="E97" t="inlineStr">
        <is>
          <t>[-0.407, -0.307]</t>
        </is>
      </c>
      <c r="F97" t="inlineStr">
        <is>
          <t>&lt; .001</t>
        </is>
      </c>
      <c r="G97" t="inlineStr">
        <is>
          <t>✓</t>
        </is>
      </c>
    </row>
    <row r="98">
      <c r="A98" t="inlineStr">
        <is>
          <t>R_i6_8_ROI</t>
        </is>
      </c>
      <c r="B98" t="n">
        <v>-0.253</v>
      </c>
      <c r="C98" t="n">
        <v>1150</v>
      </c>
      <c r="D98" t="inlineStr">
        <is>
          <t>&lt; .001</t>
        </is>
      </c>
      <c r="E98" t="inlineStr">
        <is>
          <t>[-0.307, -0.199]</t>
        </is>
      </c>
      <c r="F98" t="inlineStr">
        <is>
          <t>&lt; .001</t>
        </is>
      </c>
      <c r="G98" t="inlineStr">
        <is>
          <t>✓</t>
        </is>
      </c>
    </row>
    <row r="99">
      <c r="A99" t="inlineStr">
        <is>
          <t>R_s6_8_ROI</t>
        </is>
      </c>
      <c r="B99" t="n">
        <v>-0.327</v>
      </c>
      <c r="C99" t="n">
        <v>1150</v>
      </c>
      <c r="D99" t="inlineStr">
        <is>
          <t>&lt; .001</t>
        </is>
      </c>
      <c r="E99" t="inlineStr">
        <is>
          <t>[-0.377, -0.274]</t>
        </is>
      </c>
      <c r="F99" t="inlineStr">
        <is>
          <t>&lt; .001</t>
        </is>
      </c>
      <c r="G99" t="inlineStr">
        <is>
          <t>✓</t>
        </is>
      </c>
    </row>
    <row r="100">
      <c r="A100" t="inlineStr">
        <is>
          <t>R_43_ROI</t>
        </is>
      </c>
      <c r="B100" t="n">
        <v>-0.371</v>
      </c>
      <c r="C100" t="n">
        <v>1150</v>
      </c>
      <c r="D100" t="inlineStr">
        <is>
          <t>&lt; .001</t>
        </is>
      </c>
      <c r="E100" t="inlineStr">
        <is>
          <t>[-0.420, -0.320]</t>
        </is>
      </c>
      <c r="F100" t="inlineStr">
        <is>
          <t>&lt; .001</t>
        </is>
      </c>
      <c r="G100" t="inlineStr">
        <is>
          <t>✓</t>
        </is>
      </c>
    </row>
    <row r="101">
      <c r="A101" t="inlineStr">
        <is>
          <t>R_OP4_ROI</t>
        </is>
      </c>
      <c r="B101" t="n">
        <v>-0.319</v>
      </c>
      <c r="C101" t="n">
        <v>1150</v>
      </c>
      <c r="D101" t="inlineStr">
        <is>
          <t>&lt; .001</t>
        </is>
      </c>
      <c r="E101" t="inlineStr">
        <is>
          <t>[-0.370, -0.266]</t>
        </is>
      </c>
      <c r="F101" t="inlineStr">
        <is>
          <t>&lt; .001</t>
        </is>
      </c>
      <c r="G101" t="inlineStr">
        <is>
          <t>✓</t>
        </is>
      </c>
    </row>
    <row r="102">
      <c r="A102" t="inlineStr">
        <is>
          <t>R_OP1_ROI</t>
        </is>
      </c>
      <c r="B102" t="n">
        <v>-0.239</v>
      </c>
      <c r="C102" t="n">
        <v>1150</v>
      </c>
      <c r="D102" t="inlineStr">
        <is>
          <t>&lt; .001</t>
        </is>
      </c>
      <c r="E102" t="inlineStr">
        <is>
          <t>[-0.293, -0.184]</t>
        </is>
      </c>
      <c r="F102" t="inlineStr">
        <is>
          <t>&lt; .001</t>
        </is>
      </c>
      <c r="G102" t="inlineStr">
        <is>
          <t>✓</t>
        </is>
      </c>
    </row>
    <row r="103">
      <c r="A103" t="inlineStr">
        <is>
          <t>R_OP2_3_ROI</t>
        </is>
      </c>
      <c r="B103" t="n">
        <v>-0.327</v>
      </c>
      <c r="C103" t="n">
        <v>1150</v>
      </c>
      <c r="D103" t="inlineStr">
        <is>
          <t>&lt; .001</t>
        </is>
      </c>
      <c r="E103" t="inlineStr">
        <is>
          <t>[-0.378, -0.274]</t>
        </is>
      </c>
      <c r="F103" t="inlineStr">
        <is>
          <t>&lt; .001</t>
        </is>
      </c>
      <c r="G103" t="inlineStr">
        <is>
          <t>✓</t>
        </is>
      </c>
    </row>
    <row r="104">
      <c r="A104" t="inlineStr">
        <is>
          <t>R_52_ROI</t>
        </is>
      </c>
      <c r="B104" t="n">
        <v>-0.288</v>
      </c>
      <c r="C104" t="n">
        <v>1150</v>
      </c>
      <c r="D104" t="inlineStr">
        <is>
          <t>&lt; .001</t>
        </is>
      </c>
      <c r="E104" t="inlineStr">
        <is>
          <t>[-0.340, -0.234]</t>
        </is>
      </c>
      <c r="F104" t="inlineStr">
        <is>
          <t>&lt; .001</t>
        </is>
      </c>
      <c r="G104" t="inlineStr">
        <is>
          <t>✓</t>
        </is>
      </c>
    </row>
    <row r="105">
      <c r="A105" t="inlineStr">
        <is>
          <t>R_RI_ROI</t>
        </is>
      </c>
      <c r="B105" t="n">
        <v>-0.437</v>
      </c>
      <c r="C105" t="n">
        <v>1150</v>
      </c>
      <c r="D105" t="inlineStr">
        <is>
          <t>&lt; .001</t>
        </is>
      </c>
      <c r="E105" t="inlineStr">
        <is>
          <t>[-0.483, -0.389]</t>
        </is>
      </c>
      <c r="F105" t="inlineStr">
        <is>
          <t>&lt; .001</t>
        </is>
      </c>
      <c r="G105" t="inlineStr">
        <is>
          <t>✓</t>
        </is>
      </c>
    </row>
    <row r="106">
      <c r="A106" t="inlineStr">
        <is>
          <t>R_PFcm_ROI</t>
        </is>
      </c>
      <c r="B106" t="n">
        <v>-0.319</v>
      </c>
      <c r="C106" t="n">
        <v>1150</v>
      </c>
      <c r="D106" t="inlineStr">
        <is>
          <t>&lt; .001</t>
        </is>
      </c>
      <c r="E106" t="inlineStr">
        <is>
          <t>[-0.370, -0.266]</t>
        </is>
      </c>
      <c r="F106" t="inlineStr">
        <is>
          <t>&lt; .001</t>
        </is>
      </c>
      <c r="G106" t="inlineStr">
        <is>
          <t>✓</t>
        </is>
      </c>
    </row>
    <row r="107">
      <c r="A107" t="inlineStr">
        <is>
          <t>R_PoI2_ROI</t>
        </is>
      </c>
      <c r="B107" t="n">
        <v>-0.244</v>
      </c>
      <c r="C107" t="n">
        <v>1150</v>
      </c>
      <c r="D107" t="inlineStr">
        <is>
          <t>&lt; .001</t>
        </is>
      </c>
      <c r="E107" t="inlineStr">
        <is>
          <t>[-0.298, -0.189]</t>
        </is>
      </c>
      <c r="F107" t="inlineStr">
        <is>
          <t>&lt; .001</t>
        </is>
      </c>
      <c r="G107" t="inlineStr">
        <is>
          <t>✓</t>
        </is>
      </c>
    </row>
    <row r="108">
      <c r="A108" t="inlineStr">
        <is>
          <t>R_TA2_ROI</t>
        </is>
      </c>
      <c r="B108" t="n">
        <v>-0.353</v>
      </c>
      <c r="C108" t="n">
        <v>1150</v>
      </c>
      <c r="D108" t="inlineStr">
        <is>
          <t>&lt; .001</t>
        </is>
      </c>
      <c r="E108" t="inlineStr">
        <is>
          <t>[-0.403, -0.301]</t>
        </is>
      </c>
      <c r="F108" t="inlineStr">
        <is>
          <t>&lt; .001</t>
        </is>
      </c>
      <c r="G108" t="inlineStr">
        <is>
          <t>✓</t>
        </is>
      </c>
    </row>
    <row r="109">
      <c r="A109" t="inlineStr">
        <is>
          <t>R_FOP4_ROI</t>
        </is>
      </c>
      <c r="B109" t="n">
        <v>-0.346</v>
      </c>
      <c r="C109" t="n">
        <v>1150</v>
      </c>
      <c r="D109" t="inlineStr">
        <is>
          <t>&lt; .001</t>
        </is>
      </c>
      <c r="E109" t="inlineStr">
        <is>
          <t>[-0.396, -0.294]</t>
        </is>
      </c>
      <c r="F109" t="inlineStr">
        <is>
          <t>&lt; .001</t>
        </is>
      </c>
      <c r="G109" t="inlineStr">
        <is>
          <t>✓</t>
        </is>
      </c>
    </row>
    <row r="110">
      <c r="A110" t="inlineStr">
        <is>
          <t>R_MI_ROI</t>
        </is>
      </c>
      <c r="B110" t="n">
        <v>-0.347</v>
      </c>
      <c r="C110" t="n">
        <v>1150</v>
      </c>
      <c r="D110" t="inlineStr">
        <is>
          <t>&lt; .001</t>
        </is>
      </c>
      <c r="E110" t="inlineStr">
        <is>
          <t>[-0.397, -0.295]</t>
        </is>
      </c>
      <c r="F110" t="inlineStr">
        <is>
          <t>&lt; .001</t>
        </is>
      </c>
      <c r="G110" t="inlineStr">
        <is>
          <t>✓</t>
        </is>
      </c>
    </row>
    <row r="111">
      <c r="A111" t="inlineStr">
        <is>
          <t>R_Pir_ROI</t>
        </is>
      </c>
      <c r="B111" t="n">
        <v>-0.051</v>
      </c>
      <c r="C111" t="n">
        <v>1150</v>
      </c>
      <c r="D111">
        <f> 0.082</f>
        <v/>
      </c>
      <c r="E111" t="inlineStr">
        <is>
          <t>[-0.109, 0.007]</t>
        </is>
      </c>
      <c r="F111">
        <f> 0.083</f>
        <v/>
      </c>
      <c r="G111" t="inlineStr"/>
    </row>
    <row r="112">
      <c r="A112" t="inlineStr">
        <is>
          <t>R_AVI_ROI</t>
        </is>
      </c>
      <c r="B112" t="n">
        <v>-0.306</v>
      </c>
      <c r="C112" t="n">
        <v>1150</v>
      </c>
      <c r="D112" t="inlineStr">
        <is>
          <t>&lt; .001</t>
        </is>
      </c>
      <c r="E112" t="inlineStr">
        <is>
          <t>[-0.358, -0.253]</t>
        </is>
      </c>
      <c r="F112" t="inlineStr">
        <is>
          <t>&lt; .001</t>
        </is>
      </c>
      <c r="G112" t="inlineStr">
        <is>
          <t>✓</t>
        </is>
      </c>
    </row>
    <row r="113">
      <c r="A113" t="inlineStr">
        <is>
          <t>R_AAIC_ROI</t>
        </is>
      </c>
      <c r="B113" t="n">
        <v>-0.248</v>
      </c>
      <c r="C113" t="n">
        <v>1150</v>
      </c>
      <c r="D113" t="inlineStr">
        <is>
          <t>&lt; .001</t>
        </is>
      </c>
      <c r="E113" t="inlineStr">
        <is>
          <t>[-0.301, -0.193]</t>
        </is>
      </c>
      <c r="F113" t="inlineStr">
        <is>
          <t>&lt; .001</t>
        </is>
      </c>
      <c r="G113" t="inlineStr">
        <is>
          <t>✓</t>
        </is>
      </c>
    </row>
    <row r="114">
      <c r="A114" t="inlineStr">
        <is>
          <t>R_FOP1_ROI</t>
        </is>
      </c>
      <c r="B114" t="n">
        <v>-0.324</v>
      </c>
      <c r="C114" t="n">
        <v>1150</v>
      </c>
      <c r="D114" t="inlineStr">
        <is>
          <t>&lt; .001</t>
        </is>
      </c>
      <c r="E114" t="inlineStr">
        <is>
          <t>[-0.374, -0.271]</t>
        </is>
      </c>
      <c r="F114" t="inlineStr">
        <is>
          <t>&lt; .001</t>
        </is>
      </c>
      <c r="G114" t="inlineStr">
        <is>
          <t>✓</t>
        </is>
      </c>
    </row>
    <row r="115">
      <c r="A115" t="inlineStr">
        <is>
          <t>R_FOP3_ROI</t>
        </is>
      </c>
      <c r="B115" t="n">
        <v>-0.183</v>
      </c>
      <c r="C115" t="n">
        <v>1150</v>
      </c>
      <c r="D115" t="inlineStr">
        <is>
          <t>&lt; .001</t>
        </is>
      </c>
      <c r="E115" t="inlineStr">
        <is>
          <t>[-0.239, -0.127]</t>
        </is>
      </c>
      <c r="F115" t="inlineStr">
        <is>
          <t>&lt; .001</t>
        </is>
      </c>
      <c r="G115" t="inlineStr">
        <is>
          <t>✓</t>
        </is>
      </c>
    </row>
    <row r="116">
      <c r="A116" t="inlineStr">
        <is>
          <t>R_FOP2_ROI</t>
        </is>
      </c>
      <c r="B116" t="n">
        <v>-0.18</v>
      </c>
      <c r="C116" t="n">
        <v>1150</v>
      </c>
      <c r="D116" t="inlineStr">
        <is>
          <t>&lt; .001</t>
        </is>
      </c>
      <c r="E116" t="inlineStr">
        <is>
          <t>[-0.236, -0.124]</t>
        </is>
      </c>
      <c r="F116" t="inlineStr">
        <is>
          <t>&lt; .001</t>
        </is>
      </c>
      <c r="G116" t="inlineStr">
        <is>
          <t>✓</t>
        </is>
      </c>
    </row>
    <row r="117">
      <c r="A117" t="inlineStr">
        <is>
          <t>R_PFt_ROI</t>
        </is>
      </c>
      <c r="B117" t="n">
        <v>-0.347</v>
      </c>
      <c r="C117" t="n">
        <v>1150</v>
      </c>
      <c r="D117" t="inlineStr">
        <is>
          <t>&lt; .001</t>
        </is>
      </c>
      <c r="E117" t="inlineStr">
        <is>
          <t>[-0.397, -0.295]</t>
        </is>
      </c>
      <c r="F117" t="inlineStr">
        <is>
          <t>&lt; .001</t>
        </is>
      </c>
      <c r="G117" t="inlineStr">
        <is>
          <t>✓</t>
        </is>
      </c>
    </row>
    <row r="118">
      <c r="A118" t="inlineStr">
        <is>
          <t>R_AIP_ROI</t>
        </is>
      </c>
      <c r="B118" t="n">
        <v>-0.436</v>
      </c>
      <c r="C118" t="n">
        <v>1150</v>
      </c>
      <c r="D118" t="inlineStr">
        <is>
          <t>&lt; .001</t>
        </is>
      </c>
      <c r="E118" t="inlineStr">
        <is>
          <t>[-0.482, -0.388]</t>
        </is>
      </c>
      <c r="F118" t="inlineStr">
        <is>
          <t>&lt; .001</t>
        </is>
      </c>
      <c r="G118" t="inlineStr">
        <is>
          <t>✓</t>
        </is>
      </c>
    </row>
    <row r="119">
      <c r="A119" t="inlineStr">
        <is>
          <t>R_EC_ROI</t>
        </is>
      </c>
      <c r="B119" t="n">
        <v>-0.118</v>
      </c>
      <c r="C119" t="n">
        <v>1150</v>
      </c>
      <c r="D119" t="inlineStr">
        <is>
          <t>&lt; .001</t>
        </is>
      </c>
      <c r="E119" t="inlineStr">
        <is>
          <t>[-0.175, -0.061]</t>
        </is>
      </c>
      <c r="F119" t="inlineStr">
        <is>
          <t>&lt; .001</t>
        </is>
      </c>
      <c r="G119" t="inlineStr">
        <is>
          <t>✓</t>
        </is>
      </c>
    </row>
    <row r="120">
      <c r="A120" t="inlineStr">
        <is>
          <t>R_PreS_ROI</t>
        </is>
      </c>
      <c r="B120" t="n">
        <v>0.08400000000000001</v>
      </c>
      <c r="C120" t="n">
        <v>1150</v>
      </c>
      <c r="D120">
        <f> 0.004</f>
        <v/>
      </c>
      <c r="E120" t="inlineStr">
        <is>
          <t>[0.026, 0.141]</t>
        </is>
      </c>
      <c r="F120">
        <f> 0.005</f>
        <v/>
      </c>
      <c r="G120" t="inlineStr">
        <is>
          <t>✓</t>
        </is>
      </c>
    </row>
    <row r="121">
      <c r="A121" t="inlineStr">
        <is>
          <t>R_H_ROI</t>
        </is>
      </c>
      <c r="B121" t="n">
        <v>0.074</v>
      </c>
      <c r="C121" t="n">
        <v>1150</v>
      </c>
      <c r="D121">
        <f> 0.012</f>
        <v/>
      </c>
      <c r="E121" t="inlineStr">
        <is>
          <t>[0.017, 0.132]</t>
        </is>
      </c>
      <c r="F121">
        <f> 0.012</f>
        <v/>
      </c>
      <c r="G121" t="inlineStr">
        <is>
          <t>✓</t>
        </is>
      </c>
    </row>
    <row r="122">
      <c r="A122" t="inlineStr">
        <is>
          <t>R_ProS_ROI</t>
        </is>
      </c>
      <c r="B122" t="n">
        <v>-0.344</v>
      </c>
      <c r="C122" t="n">
        <v>1150</v>
      </c>
      <c r="D122" t="inlineStr">
        <is>
          <t>&lt; .001</t>
        </is>
      </c>
      <c r="E122" t="inlineStr">
        <is>
          <t>[-0.394, -0.292]</t>
        </is>
      </c>
      <c r="F122" t="inlineStr">
        <is>
          <t>&lt; .001</t>
        </is>
      </c>
      <c r="G122" t="inlineStr">
        <is>
          <t>✓</t>
        </is>
      </c>
    </row>
    <row r="123">
      <c r="A123" t="inlineStr">
        <is>
          <t>R_PeEc_ROI</t>
        </is>
      </c>
      <c r="B123" t="n">
        <v>-0.331</v>
      </c>
      <c r="C123" t="n">
        <v>1150</v>
      </c>
      <c r="D123" t="inlineStr">
        <is>
          <t>&lt; .001</t>
        </is>
      </c>
      <c r="E123" t="inlineStr">
        <is>
          <t>[-0.381, -0.278]</t>
        </is>
      </c>
      <c r="F123" t="inlineStr">
        <is>
          <t>&lt; .001</t>
        </is>
      </c>
      <c r="G123" t="inlineStr">
        <is>
          <t>✓</t>
        </is>
      </c>
    </row>
    <row r="124">
      <c r="A124" t="inlineStr">
        <is>
          <t>R_STGa_ROI</t>
        </is>
      </c>
      <c r="B124" t="n">
        <v>-0.313</v>
      </c>
      <c r="C124" t="n">
        <v>1150</v>
      </c>
      <c r="D124" t="inlineStr">
        <is>
          <t>&lt; .001</t>
        </is>
      </c>
      <c r="E124" t="inlineStr">
        <is>
          <t>[-0.364, -0.260]</t>
        </is>
      </c>
      <c r="F124" t="inlineStr">
        <is>
          <t>&lt; .001</t>
        </is>
      </c>
      <c r="G124" t="inlineStr">
        <is>
          <t>✓</t>
        </is>
      </c>
    </row>
    <row r="125">
      <c r="A125" t="inlineStr">
        <is>
          <t>R_PBelt_ROI</t>
        </is>
      </c>
      <c r="B125" t="n">
        <v>-0.369</v>
      </c>
      <c r="C125" t="n">
        <v>1150</v>
      </c>
      <c r="D125" t="inlineStr">
        <is>
          <t>&lt; .001</t>
        </is>
      </c>
      <c r="E125" t="inlineStr">
        <is>
          <t>[-0.418, -0.318]</t>
        </is>
      </c>
      <c r="F125" t="inlineStr">
        <is>
          <t>&lt; .001</t>
        </is>
      </c>
      <c r="G125" t="inlineStr">
        <is>
          <t>✓</t>
        </is>
      </c>
    </row>
    <row r="126">
      <c r="A126" t="inlineStr">
        <is>
          <t>R_A5_ROI</t>
        </is>
      </c>
      <c r="B126" t="n">
        <v>-0.369</v>
      </c>
      <c r="C126" t="n">
        <v>1150</v>
      </c>
      <c r="D126" t="inlineStr">
        <is>
          <t>&lt; .001</t>
        </is>
      </c>
      <c r="E126" t="inlineStr">
        <is>
          <t>[-0.418, -0.318]</t>
        </is>
      </c>
      <c r="F126" t="inlineStr">
        <is>
          <t>&lt; .001</t>
        </is>
      </c>
      <c r="G126" t="inlineStr">
        <is>
          <t>✓</t>
        </is>
      </c>
    </row>
    <row r="127">
      <c r="A127" t="inlineStr">
        <is>
          <t>R_PHA1_ROI</t>
        </is>
      </c>
      <c r="B127" t="n">
        <v>-0.266</v>
      </c>
      <c r="C127" t="n">
        <v>1150</v>
      </c>
      <c r="D127" t="inlineStr">
        <is>
          <t>&lt; .001</t>
        </is>
      </c>
      <c r="E127" t="inlineStr">
        <is>
          <t>[-0.319, -0.212]</t>
        </is>
      </c>
      <c r="F127" t="inlineStr">
        <is>
          <t>&lt; .001</t>
        </is>
      </c>
      <c r="G127" t="inlineStr">
        <is>
          <t>✓</t>
        </is>
      </c>
    </row>
    <row r="128">
      <c r="A128" t="inlineStr">
        <is>
          <t>R_PHA3_ROI</t>
        </is>
      </c>
      <c r="B128" t="n">
        <v>-0.259</v>
      </c>
      <c r="C128" t="n">
        <v>1150</v>
      </c>
      <c r="D128" t="inlineStr">
        <is>
          <t>&lt; .001</t>
        </is>
      </c>
      <c r="E128" t="inlineStr">
        <is>
          <t>[-0.312, -0.205]</t>
        </is>
      </c>
      <c r="F128" t="inlineStr">
        <is>
          <t>&lt; .001</t>
        </is>
      </c>
      <c r="G128" t="inlineStr">
        <is>
          <t>✓</t>
        </is>
      </c>
    </row>
    <row r="129">
      <c r="A129" t="inlineStr">
        <is>
          <t>R_STSda_ROI</t>
        </is>
      </c>
      <c r="B129" t="n">
        <v>-0.391</v>
      </c>
      <c r="C129" t="n">
        <v>1150</v>
      </c>
      <c r="D129" t="inlineStr">
        <is>
          <t>&lt; .001</t>
        </is>
      </c>
      <c r="E129" t="inlineStr">
        <is>
          <t>[-0.439, -0.341]</t>
        </is>
      </c>
      <c r="F129" t="inlineStr">
        <is>
          <t>&lt; .001</t>
        </is>
      </c>
      <c r="G129" t="inlineStr">
        <is>
          <t>✓</t>
        </is>
      </c>
    </row>
    <row r="130">
      <c r="A130" t="inlineStr">
        <is>
          <t>R_STSdp_ROI</t>
        </is>
      </c>
      <c r="B130" t="n">
        <v>-0.421</v>
      </c>
      <c r="C130" t="n">
        <v>1150</v>
      </c>
      <c r="D130" t="inlineStr">
        <is>
          <t>&lt; .001</t>
        </is>
      </c>
      <c r="E130" t="inlineStr">
        <is>
          <t>[-0.467, -0.372]</t>
        </is>
      </c>
      <c r="F130" t="inlineStr">
        <is>
          <t>&lt; .001</t>
        </is>
      </c>
      <c r="G130" t="inlineStr">
        <is>
          <t>✓</t>
        </is>
      </c>
    </row>
    <row r="131">
      <c r="A131" t="inlineStr">
        <is>
          <t>R_STSvp_ROI</t>
        </is>
      </c>
      <c r="B131" t="n">
        <v>-0.35</v>
      </c>
      <c r="C131" t="n">
        <v>1150</v>
      </c>
      <c r="D131" t="inlineStr">
        <is>
          <t>&lt; .001</t>
        </is>
      </c>
      <c r="E131" t="inlineStr">
        <is>
          <t>[-0.400, -0.298]</t>
        </is>
      </c>
      <c r="F131" t="inlineStr">
        <is>
          <t>&lt; .001</t>
        </is>
      </c>
      <c r="G131" t="inlineStr">
        <is>
          <t>✓</t>
        </is>
      </c>
    </row>
    <row r="132">
      <c r="A132" t="inlineStr">
        <is>
          <t>R_TGd_ROI</t>
        </is>
      </c>
      <c r="B132" t="n">
        <v>-0.459</v>
      </c>
      <c r="C132" t="n">
        <v>1150</v>
      </c>
      <c r="D132" t="inlineStr">
        <is>
          <t>&lt; .001</t>
        </is>
      </c>
      <c r="E132" t="inlineStr">
        <is>
          <t>[-0.503, -0.412]</t>
        </is>
      </c>
      <c r="F132" t="inlineStr">
        <is>
          <t>&lt; .001</t>
        </is>
      </c>
      <c r="G132" t="inlineStr">
        <is>
          <t>✓</t>
        </is>
      </c>
    </row>
    <row r="133">
      <c r="A133" t="inlineStr">
        <is>
          <t>R_TE1a_ROI</t>
        </is>
      </c>
      <c r="B133" t="n">
        <v>-0.303</v>
      </c>
      <c r="C133" t="n">
        <v>1150</v>
      </c>
      <c r="D133" t="inlineStr">
        <is>
          <t>&lt; .001</t>
        </is>
      </c>
      <c r="E133" t="inlineStr">
        <is>
          <t>[-0.355, -0.250]</t>
        </is>
      </c>
      <c r="F133" t="inlineStr">
        <is>
          <t>&lt; .001</t>
        </is>
      </c>
      <c r="G133" t="inlineStr">
        <is>
          <t>✓</t>
        </is>
      </c>
    </row>
    <row r="134">
      <c r="A134" t="inlineStr">
        <is>
          <t>R_TE1p_ROI</t>
        </is>
      </c>
      <c r="B134" t="n">
        <v>-0.391</v>
      </c>
      <c r="C134" t="n">
        <v>1150</v>
      </c>
      <c r="D134" t="inlineStr">
        <is>
          <t>&lt; .001</t>
        </is>
      </c>
      <c r="E134" t="inlineStr">
        <is>
          <t>[-0.439, -0.341]</t>
        </is>
      </c>
      <c r="F134" t="inlineStr">
        <is>
          <t>&lt; .001</t>
        </is>
      </c>
      <c r="G134" t="inlineStr">
        <is>
          <t>✓</t>
        </is>
      </c>
    </row>
    <row r="135">
      <c r="A135" t="inlineStr">
        <is>
          <t>R_TE2a_ROI</t>
        </is>
      </c>
      <c r="B135" t="n">
        <v>-0.361</v>
      </c>
      <c r="C135" t="n">
        <v>1150</v>
      </c>
      <c r="D135" t="inlineStr">
        <is>
          <t>&lt; .001</t>
        </is>
      </c>
      <c r="E135" t="inlineStr">
        <is>
          <t>[-0.410, -0.310]</t>
        </is>
      </c>
      <c r="F135" t="inlineStr">
        <is>
          <t>&lt; .001</t>
        </is>
      </c>
      <c r="G135" t="inlineStr">
        <is>
          <t>✓</t>
        </is>
      </c>
    </row>
    <row r="136">
      <c r="A136" t="inlineStr">
        <is>
          <t>R_TF_ROI</t>
        </is>
      </c>
      <c r="B136" t="n">
        <v>-0.361</v>
      </c>
      <c r="C136" t="n">
        <v>1150</v>
      </c>
      <c r="D136" t="inlineStr">
        <is>
          <t>&lt; .001</t>
        </is>
      </c>
      <c r="E136" t="inlineStr">
        <is>
          <t>[-0.411, -0.310]</t>
        </is>
      </c>
      <c r="F136" t="inlineStr">
        <is>
          <t>&lt; .001</t>
        </is>
      </c>
      <c r="G136" t="inlineStr">
        <is>
          <t>✓</t>
        </is>
      </c>
    </row>
    <row r="137">
      <c r="A137" t="inlineStr">
        <is>
          <t>R_TE2p_ROI</t>
        </is>
      </c>
      <c r="B137" t="n">
        <v>-0.338</v>
      </c>
      <c r="C137" t="n">
        <v>1150</v>
      </c>
      <c r="D137" t="inlineStr">
        <is>
          <t>&lt; .001</t>
        </is>
      </c>
      <c r="E137" t="inlineStr">
        <is>
          <t>[-0.388, -0.286]</t>
        </is>
      </c>
      <c r="F137" t="inlineStr">
        <is>
          <t>&lt; .001</t>
        </is>
      </c>
      <c r="G137" t="inlineStr">
        <is>
          <t>✓</t>
        </is>
      </c>
    </row>
    <row r="138">
      <c r="A138" t="inlineStr">
        <is>
          <t>R_PHT_ROI</t>
        </is>
      </c>
      <c r="B138" t="n">
        <v>-0.273</v>
      </c>
      <c r="C138" t="n">
        <v>1150</v>
      </c>
      <c r="D138" t="inlineStr">
        <is>
          <t>&lt; .001</t>
        </is>
      </c>
      <c r="E138" t="inlineStr">
        <is>
          <t>[-0.326, -0.219]</t>
        </is>
      </c>
      <c r="F138" t="inlineStr">
        <is>
          <t>&lt; .001</t>
        </is>
      </c>
      <c r="G138" t="inlineStr">
        <is>
          <t>✓</t>
        </is>
      </c>
    </row>
    <row r="139">
      <c r="A139" t="inlineStr">
        <is>
          <t>R_PH_ROI</t>
        </is>
      </c>
      <c r="B139" t="n">
        <v>-0.331</v>
      </c>
      <c r="C139" t="n">
        <v>1150</v>
      </c>
      <c r="D139" t="inlineStr">
        <is>
          <t>&lt; .001</t>
        </is>
      </c>
      <c r="E139" t="inlineStr">
        <is>
          <t>[-0.382, -0.279]</t>
        </is>
      </c>
      <c r="F139" t="inlineStr">
        <is>
          <t>&lt; .001</t>
        </is>
      </c>
      <c r="G139" t="inlineStr">
        <is>
          <t>✓</t>
        </is>
      </c>
    </row>
    <row r="140">
      <c r="A140" t="inlineStr">
        <is>
          <t>R_TPOJ1_ROI</t>
        </is>
      </c>
      <c r="B140" t="n">
        <v>-0.394</v>
      </c>
      <c r="C140" t="n">
        <v>1150</v>
      </c>
      <c r="D140" t="inlineStr">
        <is>
          <t>&lt; .001</t>
        </is>
      </c>
      <c r="E140" t="inlineStr">
        <is>
          <t>[-0.441, -0.344]</t>
        </is>
      </c>
      <c r="F140" t="inlineStr">
        <is>
          <t>&lt; .001</t>
        </is>
      </c>
      <c r="G140" t="inlineStr">
        <is>
          <t>✓</t>
        </is>
      </c>
    </row>
    <row r="141">
      <c r="A141" t="inlineStr">
        <is>
          <t>R_TPOJ2_ROI</t>
        </is>
      </c>
      <c r="B141" t="n">
        <v>-0.322</v>
      </c>
      <c r="C141" t="n">
        <v>1150</v>
      </c>
      <c r="D141" t="inlineStr">
        <is>
          <t>&lt; .001</t>
        </is>
      </c>
      <c r="E141" t="inlineStr">
        <is>
          <t>[-0.373, -0.269]</t>
        </is>
      </c>
      <c r="F141" t="inlineStr">
        <is>
          <t>&lt; .001</t>
        </is>
      </c>
      <c r="G141" t="inlineStr">
        <is>
          <t>✓</t>
        </is>
      </c>
    </row>
    <row r="142">
      <c r="A142" t="inlineStr">
        <is>
          <t>R_TPOJ3_ROI</t>
        </is>
      </c>
      <c r="B142" t="n">
        <v>-0.367</v>
      </c>
      <c r="C142" t="n">
        <v>1150</v>
      </c>
      <c r="D142" t="inlineStr">
        <is>
          <t>&lt; .001</t>
        </is>
      </c>
      <c r="E142" t="inlineStr">
        <is>
          <t>[-0.416, -0.316]</t>
        </is>
      </c>
      <c r="F142" t="inlineStr">
        <is>
          <t>&lt; .001</t>
        </is>
      </c>
      <c r="G142" t="inlineStr">
        <is>
          <t>✓</t>
        </is>
      </c>
    </row>
    <row r="143">
      <c r="A143" t="inlineStr">
        <is>
          <t>R_DVT_ROI</t>
        </is>
      </c>
      <c r="B143" t="n">
        <v>-0.393</v>
      </c>
      <c r="C143" t="n">
        <v>1150</v>
      </c>
      <c r="D143" t="inlineStr">
        <is>
          <t>&lt; .001</t>
        </is>
      </c>
      <c r="E143" t="inlineStr">
        <is>
          <t>[-0.440, -0.343]</t>
        </is>
      </c>
      <c r="F143" t="inlineStr">
        <is>
          <t>&lt; .001</t>
        </is>
      </c>
      <c r="G143" t="inlineStr">
        <is>
          <t>✓</t>
        </is>
      </c>
    </row>
    <row r="144">
      <c r="A144" t="inlineStr">
        <is>
          <t>R_PGp_ROI</t>
        </is>
      </c>
      <c r="B144" t="n">
        <v>-0.33</v>
      </c>
      <c r="C144" t="n">
        <v>1150</v>
      </c>
      <c r="D144" t="inlineStr">
        <is>
          <t>&lt; .001</t>
        </is>
      </c>
      <c r="E144" t="inlineStr">
        <is>
          <t>[-0.380, -0.277]</t>
        </is>
      </c>
      <c r="F144" t="inlineStr">
        <is>
          <t>&lt; .001</t>
        </is>
      </c>
      <c r="G144" t="inlineStr">
        <is>
          <t>✓</t>
        </is>
      </c>
    </row>
    <row r="145">
      <c r="A145" t="inlineStr">
        <is>
          <t>R_IP2_ROI</t>
        </is>
      </c>
      <c r="B145" t="n">
        <v>-0.412</v>
      </c>
      <c r="C145" t="n">
        <v>1150</v>
      </c>
      <c r="D145" t="inlineStr">
        <is>
          <t>&lt; .001</t>
        </is>
      </c>
      <c r="E145" t="inlineStr">
        <is>
          <t>[-0.459, -0.363]</t>
        </is>
      </c>
      <c r="F145" t="inlineStr">
        <is>
          <t>&lt; .001</t>
        </is>
      </c>
      <c r="G145" t="inlineStr">
        <is>
          <t>✓</t>
        </is>
      </c>
    </row>
    <row r="146">
      <c r="A146" t="inlineStr">
        <is>
          <t>R_IP1_ROI</t>
        </is>
      </c>
      <c r="B146" t="n">
        <v>-0.293</v>
      </c>
      <c r="C146" t="n">
        <v>1150</v>
      </c>
      <c r="D146" t="inlineStr">
        <is>
          <t>&lt; .001</t>
        </is>
      </c>
      <c r="E146" t="inlineStr">
        <is>
          <t>[-0.345, -0.239]</t>
        </is>
      </c>
      <c r="F146" t="inlineStr">
        <is>
          <t>&lt; .001</t>
        </is>
      </c>
      <c r="G146" t="inlineStr">
        <is>
          <t>✓</t>
        </is>
      </c>
    </row>
    <row r="147">
      <c r="A147" t="inlineStr">
        <is>
          <t>R_IP0_ROI</t>
        </is>
      </c>
      <c r="B147" t="n">
        <v>-0.247</v>
      </c>
      <c r="C147" t="n">
        <v>1150</v>
      </c>
      <c r="D147" t="inlineStr">
        <is>
          <t>&lt; .001</t>
        </is>
      </c>
      <c r="E147" t="inlineStr">
        <is>
          <t>[-0.301, -0.192]</t>
        </is>
      </c>
      <c r="F147" t="inlineStr">
        <is>
          <t>&lt; .001</t>
        </is>
      </c>
      <c r="G147" t="inlineStr">
        <is>
          <t>✓</t>
        </is>
      </c>
    </row>
    <row r="148">
      <c r="A148" t="inlineStr">
        <is>
          <t>R_PFop_ROI</t>
        </is>
      </c>
      <c r="B148" t="n">
        <v>-0.292</v>
      </c>
      <c r="C148" t="n">
        <v>1150</v>
      </c>
      <c r="D148" t="inlineStr">
        <is>
          <t>&lt; .001</t>
        </is>
      </c>
      <c r="E148" t="inlineStr">
        <is>
          <t>[-0.344, -0.238]</t>
        </is>
      </c>
      <c r="F148" t="inlineStr">
        <is>
          <t>&lt; .001</t>
        </is>
      </c>
      <c r="G148" t="inlineStr">
        <is>
          <t>✓</t>
        </is>
      </c>
    </row>
    <row r="149">
      <c r="A149" t="inlineStr">
        <is>
          <t>R_PF_ROI</t>
        </is>
      </c>
      <c r="B149" t="n">
        <v>-0.374</v>
      </c>
      <c r="C149" t="n">
        <v>1150</v>
      </c>
      <c r="D149" t="inlineStr">
        <is>
          <t>&lt; .001</t>
        </is>
      </c>
      <c r="E149" t="inlineStr">
        <is>
          <t>[-0.422, -0.323]</t>
        </is>
      </c>
      <c r="F149" t="inlineStr">
        <is>
          <t>&lt; .001</t>
        </is>
      </c>
      <c r="G149" t="inlineStr">
        <is>
          <t>✓</t>
        </is>
      </c>
    </row>
    <row r="150">
      <c r="A150" t="inlineStr">
        <is>
          <t>R_PFm_ROI</t>
        </is>
      </c>
      <c r="B150" t="n">
        <v>-0.454</v>
      </c>
      <c r="C150" t="n">
        <v>1150</v>
      </c>
      <c r="D150" t="inlineStr">
        <is>
          <t>&lt; .001</t>
        </is>
      </c>
      <c r="E150" t="inlineStr">
        <is>
          <t>[-0.499, -0.407]</t>
        </is>
      </c>
      <c r="F150" t="inlineStr">
        <is>
          <t>&lt; .001</t>
        </is>
      </c>
      <c r="G150" t="inlineStr">
        <is>
          <t>✓</t>
        </is>
      </c>
    </row>
    <row r="151">
      <c r="A151" t="inlineStr">
        <is>
          <t>R_PGi_ROI</t>
        </is>
      </c>
      <c r="B151" t="n">
        <v>-0.394</v>
      </c>
      <c r="C151" t="n">
        <v>1150</v>
      </c>
      <c r="D151" t="inlineStr">
        <is>
          <t>&lt; .001</t>
        </is>
      </c>
      <c r="E151" t="inlineStr">
        <is>
          <t>[-0.442, -0.344]</t>
        </is>
      </c>
      <c r="F151" t="inlineStr">
        <is>
          <t>&lt; .001</t>
        </is>
      </c>
      <c r="G151" t="inlineStr">
        <is>
          <t>✓</t>
        </is>
      </c>
    </row>
    <row r="152">
      <c r="A152" t="inlineStr">
        <is>
          <t>R_PGs_ROI</t>
        </is>
      </c>
      <c r="B152" t="n">
        <v>-0.335</v>
      </c>
      <c r="C152" t="n">
        <v>1150</v>
      </c>
      <c r="D152" t="inlineStr">
        <is>
          <t>&lt; .001</t>
        </is>
      </c>
      <c r="E152" t="inlineStr">
        <is>
          <t>[-0.386, -0.283]</t>
        </is>
      </c>
      <c r="F152" t="inlineStr">
        <is>
          <t>&lt; .001</t>
        </is>
      </c>
      <c r="G152" t="inlineStr">
        <is>
          <t>✓</t>
        </is>
      </c>
    </row>
    <row r="153">
      <c r="A153" t="inlineStr">
        <is>
          <t>R_V6A_ROI</t>
        </is>
      </c>
      <c r="B153" t="n">
        <v>-0.296</v>
      </c>
      <c r="C153" t="n">
        <v>1150</v>
      </c>
      <c r="D153" t="inlineStr">
        <is>
          <t>&lt; .001</t>
        </is>
      </c>
      <c r="E153" t="inlineStr">
        <is>
          <t>[-0.348, -0.242]</t>
        </is>
      </c>
      <c r="F153" t="inlineStr">
        <is>
          <t>&lt; .001</t>
        </is>
      </c>
      <c r="G153" t="inlineStr">
        <is>
          <t>✓</t>
        </is>
      </c>
    </row>
    <row r="154">
      <c r="A154" t="inlineStr">
        <is>
          <t>R_VMV1_ROI</t>
        </is>
      </c>
      <c r="B154" t="n">
        <v>-0.344</v>
      </c>
      <c r="C154" t="n">
        <v>1150</v>
      </c>
      <c r="D154" t="inlineStr">
        <is>
          <t>&lt; .001</t>
        </is>
      </c>
      <c r="E154" t="inlineStr">
        <is>
          <t>[-0.394, -0.292]</t>
        </is>
      </c>
      <c r="F154" t="inlineStr">
        <is>
          <t>&lt; .001</t>
        </is>
      </c>
      <c r="G154" t="inlineStr">
        <is>
          <t>✓</t>
        </is>
      </c>
    </row>
    <row r="155">
      <c r="A155" t="inlineStr">
        <is>
          <t>R_VMV3_ROI</t>
        </is>
      </c>
      <c r="B155" t="n">
        <v>-0.284</v>
      </c>
      <c r="C155" t="n">
        <v>1150</v>
      </c>
      <c r="D155" t="inlineStr">
        <is>
          <t>&lt; .001</t>
        </is>
      </c>
      <c r="E155" t="inlineStr">
        <is>
          <t>[-0.337, -0.230]</t>
        </is>
      </c>
      <c r="F155" t="inlineStr">
        <is>
          <t>&lt; .001</t>
        </is>
      </c>
      <c r="G155" t="inlineStr">
        <is>
          <t>✓</t>
        </is>
      </c>
    </row>
    <row r="156">
      <c r="A156" t="inlineStr">
        <is>
          <t>R_PHA2_ROI</t>
        </is>
      </c>
      <c r="B156" t="n">
        <v>-0.38</v>
      </c>
      <c r="C156" t="n">
        <v>1150</v>
      </c>
      <c r="D156" t="inlineStr">
        <is>
          <t>&lt; .001</t>
        </is>
      </c>
      <c r="E156" t="inlineStr">
        <is>
          <t>[-0.428, -0.329]</t>
        </is>
      </c>
      <c r="F156" t="inlineStr">
        <is>
          <t>&lt; .001</t>
        </is>
      </c>
      <c r="G156" t="inlineStr">
        <is>
          <t>✓</t>
        </is>
      </c>
    </row>
    <row r="157">
      <c r="A157" t="inlineStr">
        <is>
          <t>R_V4t_ROI</t>
        </is>
      </c>
      <c r="B157" t="n">
        <v>-0.21</v>
      </c>
      <c r="C157" t="n">
        <v>1150</v>
      </c>
      <c r="D157" t="inlineStr">
        <is>
          <t>&lt; .001</t>
        </is>
      </c>
      <c r="E157" t="inlineStr">
        <is>
          <t>[-0.265, -0.154]</t>
        </is>
      </c>
      <c r="F157" t="inlineStr">
        <is>
          <t>&lt; .001</t>
        </is>
      </c>
      <c r="G157" t="inlineStr">
        <is>
          <t>✓</t>
        </is>
      </c>
    </row>
    <row r="158">
      <c r="A158" t="inlineStr">
        <is>
          <t>R_FST_ROI</t>
        </is>
      </c>
      <c r="B158" t="n">
        <v>-0.259</v>
      </c>
      <c r="C158" t="n">
        <v>1150</v>
      </c>
      <c r="D158" t="inlineStr">
        <is>
          <t>&lt; .001</t>
        </is>
      </c>
      <c r="E158" t="inlineStr">
        <is>
          <t>[-0.312, -0.204]</t>
        </is>
      </c>
      <c r="F158" t="inlineStr">
        <is>
          <t>&lt; .001</t>
        </is>
      </c>
      <c r="G158" t="inlineStr">
        <is>
          <t>✓</t>
        </is>
      </c>
    </row>
    <row r="159">
      <c r="A159" t="inlineStr">
        <is>
          <t>R_V3CD_ROI</t>
        </is>
      </c>
      <c r="B159" t="n">
        <v>-0.316</v>
      </c>
      <c r="C159" t="n">
        <v>1150</v>
      </c>
      <c r="D159" t="inlineStr">
        <is>
          <t>&lt; .001</t>
        </is>
      </c>
      <c r="E159" t="inlineStr">
        <is>
          <t>[-0.367, -0.263]</t>
        </is>
      </c>
      <c r="F159" t="inlineStr">
        <is>
          <t>&lt; .001</t>
        </is>
      </c>
      <c r="G159" t="inlineStr">
        <is>
          <t>✓</t>
        </is>
      </c>
    </row>
    <row r="160">
      <c r="A160" t="inlineStr">
        <is>
          <t>R_LO3_ROI</t>
        </is>
      </c>
      <c r="B160" t="n">
        <v>-0.347</v>
      </c>
      <c r="C160" t="n">
        <v>1150</v>
      </c>
      <c r="D160" t="inlineStr">
        <is>
          <t>&lt; .001</t>
        </is>
      </c>
      <c r="E160" t="inlineStr">
        <is>
          <t>[-0.397, -0.295]</t>
        </is>
      </c>
      <c r="F160" t="inlineStr">
        <is>
          <t>&lt; .001</t>
        </is>
      </c>
      <c r="G160" t="inlineStr">
        <is>
          <t>✓</t>
        </is>
      </c>
    </row>
    <row r="161">
      <c r="A161" t="inlineStr">
        <is>
          <t>R_VMV2_ROI</t>
        </is>
      </c>
      <c r="B161" t="n">
        <v>-0.401</v>
      </c>
      <c r="C161" t="n">
        <v>1150</v>
      </c>
      <c r="D161" t="inlineStr">
        <is>
          <t>&lt; .001</t>
        </is>
      </c>
      <c r="E161" t="inlineStr">
        <is>
          <t>[-0.448, -0.351]</t>
        </is>
      </c>
      <c r="F161" t="inlineStr">
        <is>
          <t>&lt; .001</t>
        </is>
      </c>
      <c r="G161" t="inlineStr">
        <is>
          <t>✓</t>
        </is>
      </c>
    </row>
    <row r="162">
      <c r="A162" t="inlineStr">
        <is>
          <t>R_31pd_ROI</t>
        </is>
      </c>
      <c r="B162" t="n">
        <v>-0.337</v>
      </c>
      <c r="C162" t="n">
        <v>1150</v>
      </c>
      <c r="D162" t="inlineStr">
        <is>
          <t>&lt; .001</t>
        </is>
      </c>
      <c r="E162" t="inlineStr">
        <is>
          <t>[-0.387, -0.285]</t>
        </is>
      </c>
      <c r="F162" t="inlineStr">
        <is>
          <t>&lt; .001</t>
        </is>
      </c>
      <c r="G162" t="inlineStr">
        <is>
          <t>✓</t>
        </is>
      </c>
    </row>
    <row r="163">
      <c r="A163" t="inlineStr">
        <is>
          <t>R_31a_ROI</t>
        </is>
      </c>
      <c r="B163" t="n">
        <v>-0.351</v>
      </c>
      <c r="C163" t="n">
        <v>1150</v>
      </c>
      <c r="D163" t="inlineStr">
        <is>
          <t>&lt; .001</t>
        </is>
      </c>
      <c r="E163" t="inlineStr">
        <is>
          <t>[-0.401, -0.300]</t>
        </is>
      </c>
      <c r="F163" t="inlineStr">
        <is>
          <t>&lt; .001</t>
        </is>
      </c>
      <c r="G163" t="inlineStr">
        <is>
          <t>✓</t>
        </is>
      </c>
    </row>
    <row r="164">
      <c r="A164" t="inlineStr">
        <is>
          <t>R_VVC_ROI</t>
        </is>
      </c>
      <c r="B164" t="n">
        <v>-0.372</v>
      </c>
      <c r="C164" t="n">
        <v>1150</v>
      </c>
      <c r="D164" t="inlineStr">
        <is>
          <t>&lt; .001</t>
        </is>
      </c>
      <c r="E164" t="inlineStr">
        <is>
          <t>[-0.421, -0.321]</t>
        </is>
      </c>
      <c r="F164" t="inlineStr">
        <is>
          <t>&lt; .001</t>
        </is>
      </c>
      <c r="G164" t="inlineStr">
        <is>
          <t>✓</t>
        </is>
      </c>
    </row>
    <row r="165">
      <c r="A165" t="inlineStr">
        <is>
          <t>R_25_ROI</t>
        </is>
      </c>
      <c r="B165" t="n">
        <v>-0.269</v>
      </c>
      <c r="C165" t="n">
        <v>1150</v>
      </c>
      <c r="D165" t="inlineStr">
        <is>
          <t>&lt; .001</t>
        </is>
      </c>
      <c r="E165" t="inlineStr">
        <is>
          <t>[-0.322, -0.215]</t>
        </is>
      </c>
      <c r="F165" t="inlineStr">
        <is>
          <t>&lt; .001</t>
        </is>
      </c>
      <c r="G165" t="inlineStr">
        <is>
          <t>✓</t>
        </is>
      </c>
    </row>
    <row r="166">
      <c r="A166" t="inlineStr">
        <is>
          <t>R_s32_ROI</t>
        </is>
      </c>
      <c r="B166" t="n">
        <v>0.153</v>
      </c>
      <c r="C166" t="n">
        <v>1150</v>
      </c>
      <c r="D166" t="inlineStr">
        <is>
          <t>&lt; .001</t>
        </is>
      </c>
      <c r="E166" t="inlineStr">
        <is>
          <t>[0.096, 0.209]</t>
        </is>
      </c>
      <c r="F166" t="inlineStr">
        <is>
          <t>&lt; .001</t>
        </is>
      </c>
      <c r="G166" t="inlineStr">
        <is>
          <t>✓</t>
        </is>
      </c>
    </row>
    <row r="167">
      <c r="A167" t="inlineStr">
        <is>
          <t>R_pOFC_ROI</t>
        </is>
      </c>
      <c r="B167" t="n">
        <v>-0.307</v>
      </c>
      <c r="C167" t="n">
        <v>1150</v>
      </c>
      <c r="D167" t="inlineStr">
        <is>
          <t>&lt; .001</t>
        </is>
      </c>
      <c r="E167" t="inlineStr">
        <is>
          <t>[-0.358, -0.253]</t>
        </is>
      </c>
      <c r="F167" t="inlineStr">
        <is>
          <t>&lt; .001</t>
        </is>
      </c>
      <c r="G167" t="inlineStr">
        <is>
          <t>✓</t>
        </is>
      </c>
    </row>
    <row r="168">
      <c r="A168" t="inlineStr">
        <is>
          <t>R_PoI1_ROI</t>
        </is>
      </c>
      <c r="B168" t="n">
        <v>-0.255</v>
      </c>
      <c r="C168" t="n">
        <v>1150</v>
      </c>
      <c r="D168" t="inlineStr">
        <is>
          <t>&lt; .001</t>
        </is>
      </c>
      <c r="E168" t="inlineStr">
        <is>
          <t>[-0.308, -0.200]</t>
        </is>
      </c>
      <c r="F168" t="inlineStr">
        <is>
          <t>&lt; .001</t>
        </is>
      </c>
      <c r="G168" t="inlineStr">
        <is>
          <t>✓</t>
        </is>
      </c>
    </row>
    <row r="169">
      <c r="A169" t="inlineStr">
        <is>
          <t>R_Ig_ROI</t>
        </is>
      </c>
      <c r="B169" t="n">
        <v>-0.172</v>
      </c>
      <c r="C169" t="n">
        <v>1150</v>
      </c>
      <c r="D169" t="inlineStr">
        <is>
          <t>&lt; .001</t>
        </is>
      </c>
      <c r="E169" t="inlineStr">
        <is>
          <t>[-0.228, -0.116]</t>
        </is>
      </c>
      <c r="F169" t="inlineStr">
        <is>
          <t>&lt; .001</t>
        </is>
      </c>
      <c r="G169" t="inlineStr">
        <is>
          <t>✓</t>
        </is>
      </c>
    </row>
    <row r="170">
      <c r="A170" t="inlineStr">
        <is>
          <t>R_FOP5_ROI</t>
        </is>
      </c>
      <c r="B170" t="n">
        <v>-0.325</v>
      </c>
      <c r="C170" t="n">
        <v>1150</v>
      </c>
      <c r="D170" t="inlineStr">
        <is>
          <t>&lt; .001</t>
        </is>
      </c>
      <c r="E170" t="inlineStr">
        <is>
          <t>[-0.376, -0.272]</t>
        </is>
      </c>
      <c r="F170" t="inlineStr">
        <is>
          <t>&lt; .001</t>
        </is>
      </c>
      <c r="G170" t="inlineStr">
        <is>
          <t>✓</t>
        </is>
      </c>
    </row>
    <row r="171">
      <c r="A171" t="inlineStr">
        <is>
          <t>R_p10p_ROI</t>
        </is>
      </c>
      <c r="B171" t="n">
        <v>-0.256</v>
      </c>
      <c r="C171" t="n">
        <v>1150</v>
      </c>
      <c r="D171" t="inlineStr">
        <is>
          <t>&lt; .001</t>
        </is>
      </c>
      <c r="E171" t="inlineStr">
        <is>
          <t>[-0.309, -0.201]</t>
        </is>
      </c>
      <c r="F171" t="inlineStr">
        <is>
          <t>&lt; .001</t>
        </is>
      </c>
      <c r="G171" t="inlineStr">
        <is>
          <t>✓</t>
        </is>
      </c>
    </row>
    <row r="172">
      <c r="A172" t="inlineStr">
        <is>
          <t>R_p47r_ROI</t>
        </is>
      </c>
      <c r="B172" t="n">
        <v>-0.379</v>
      </c>
      <c r="C172" t="n">
        <v>1150</v>
      </c>
      <c r="D172" t="inlineStr">
        <is>
          <t>&lt; .001</t>
        </is>
      </c>
      <c r="E172" t="inlineStr">
        <is>
          <t>[-0.427, -0.328]</t>
        </is>
      </c>
      <c r="F172" t="inlineStr">
        <is>
          <t>&lt; .001</t>
        </is>
      </c>
      <c r="G172" t="inlineStr">
        <is>
          <t>✓</t>
        </is>
      </c>
    </row>
    <row r="173">
      <c r="A173" t="inlineStr">
        <is>
          <t>R_TGv_ROI</t>
        </is>
      </c>
      <c r="B173" t="n">
        <v>-0.279</v>
      </c>
      <c r="C173" t="n">
        <v>1150</v>
      </c>
      <c r="D173" t="inlineStr">
        <is>
          <t>&lt; .001</t>
        </is>
      </c>
      <c r="E173" t="inlineStr">
        <is>
          <t>[-0.331, -0.225]</t>
        </is>
      </c>
      <c r="F173" t="inlineStr">
        <is>
          <t>&lt; .001</t>
        </is>
      </c>
      <c r="G173" t="inlineStr">
        <is>
          <t>✓</t>
        </is>
      </c>
    </row>
    <row r="174">
      <c r="A174" t="inlineStr">
        <is>
          <t>R_MBelt_ROI</t>
        </is>
      </c>
      <c r="B174" t="n">
        <v>-0.368</v>
      </c>
      <c r="C174" t="n">
        <v>1150</v>
      </c>
      <c r="D174" t="inlineStr">
        <is>
          <t>&lt; .001</t>
        </is>
      </c>
      <c r="E174" t="inlineStr">
        <is>
          <t>[-0.417, -0.317]</t>
        </is>
      </c>
      <c r="F174" t="inlineStr">
        <is>
          <t>&lt; .001</t>
        </is>
      </c>
      <c r="G174" t="inlineStr">
        <is>
          <t>✓</t>
        </is>
      </c>
    </row>
    <row r="175">
      <c r="A175" t="inlineStr">
        <is>
          <t>R_LBelt_ROI</t>
        </is>
      </c>
      <c r="B175" t="n">
        <v>-0.362</v>
      </c>
      <c r="C175" t="n">
        <v>1150</v>
      </c>
      <c r="D175" t="inlineStr">
        <is>
          <t>&lt; .001</t>
        </is>
      </c>
      <c r="E175" t="inlineStr">
        <is>
          <t>[-0.411, -0.311]</t>
        </is>
      </c>
      <c r="F175" t="inlineStr">
        <is>
          <t>&lt; .001</t>
        </is>
      </c>
      <c r="G175" t="inlineStr">
        <is>
          <t>✓</t>
        </is>
      </c>
    </row>
    <row r="176">
      <c r="A176" t="inlineStr">
        <is>
          <t>R_A4_ROI</t>
        </is>
      </c>
      <c r="B176" t="n">
        <v>-0.391</v>
      </c>
      <c r="C176" t="n">
        <v>1150</v>
      </c>
      <c r="D176" t="inlineStr">
        <is>
          <t>&lt; .001</t>
        </is>
      </c>
      <c r="E176" t="inlineStr">
        <is>
          <t>[-0.439, -0.341]</t>
        </is>
      </c>
      <c r="F176" t="inlineStr">
        <is>
          <t>&lt; .001</t>
        </is>
      </c>
      <c r="G176" t="inlineStr">
        <is>
          <t>✓</t>
        </is>
      </c>
    </row>
    <row r="177">
      <c r="A177" t="inlineStr">
        <is>
          <t>R_STSva_ROI</t>
        </is>
      </c>
      <c r="B177" t="n">
        <v>-0.328</v>
      </c>
      <c r="C177" t="n">
        <v>1150</v>
      </c>
      <c r="D177" t="inlineStr">
        <is>
          <t>&lt; .001</t>
        </is>
      </c>
      <c r="E177" t="inlineStr">
        <is>
          <t>[-0.379, -0.275]</t>
        </is>
      </c>
      <c r="F177" t="inlineStr">
        <is>
          <t>&lt; .001</t>
        </is>
      </c>
      <c r="G177" t="inlineStr">
        <is>
          <t>✓</t>
        </is>
      </c>
    </row>
    <row r="178">
      <c r="A178" t="inlineStr">
        <is>
          <t>R_TE1m_ROI</t>
        </is>
      </c>
      <c r="B178" t="n">
        <v>-0.316</v>
      </c>
      <c r="C178" t="n">
        <v>1150</v>
      </c>
      <c r="D178" t="inlineStr">
        <is>
          <t>&lt; .001</t>
        </is>
      </c>
      <c r="E178" t="inlineStr">
        <is>
          <t>[-0.367, -0.263]</t>
        </is>
      </c>
      <c r="F178" t="inlineStr">
        <is>
          <t>&lt; .001</t>
        </is>
      </c>
      <c r="G178" t="inlineStr">
        <is>
          <t>✓</t>
        </is>
      </c>
    </row>
    <row r="179">
      <c r="A179" t="inlineStr">
        <is>
          <t>R_PI_ROI</t>
        </is>
      </c>
      <c r="B179" t="n">
        <v>-0.316</v>
      </c>
      <c r="C179" t="n">
        <v>1150</v>
      </c>
      <c r="D179" t="inlineStr">
        <is>
          <t>&lt; .001</t>
        </is>
      </c>
      <c r="E179" t="inlineStr">
        <is>
          <t>[-0.367, -0.263]</t>
        </is>
      </c>
      <c r="F179" t="inlineStr">
        <is>
          <t>&lt; .001</t>
        </is>
      </c>
      <c r="G179" t="inlineStr">
        <is>
          <t>✓</t>
        </is>
      </c>
    </row>
    <row r="180">
      <c r="A180" t="inlineStr">
        <is>
          <t>R_a32pr_ROI</t>
        </is>
      </c>
      <c r="B180" t="n">
        <v>-0.393</v>
      </c>
      <c r="C180" t="n">
        <v>1150</v>
      </c>
      <c r="D180" t="inlineStr">
        <is>
          <t>&lt; .001</t>
        </is>
      </c>
      <c r="E180" t="inlineStr">
        <is>
          <t>[-0.440, -0.343]</t>
        </is>
      </c>
      <c r="F180" t="inlineStr">
        <is>
          <t>&lt; .001</t>
        </is>
      </c>
      <c r="G180" t="inlineStr">
        <is>
          <t>✓</t>
        </is>
      </c>
    </row>
    <row r="181">
      <c r="A181" t="inlineStr">
        <is>
          <t>R_p24_ROI</t>
        </is>
      </c>
      <c r="B181" t="n">
        <v>-0.145</v>
      </c>
      <c r="C181" t="n">
        <v>1150</v>
      </c>
      <c r="D181" t="inlineStr">
        <is>
          <t>&lt; .001</t>
        </is>
      </c>
      <c r="E181" t="inlineStr">
        <is>
          <t>[-0.201, -0.088]</t>
        </is>
      </c>
      <c r="F181" t="inlineStr">
        <is>
          <t>&lt; .001</t>
        </is>
      </c>
      <c r="G181" t="inlineStr">
        <is>
          <t>✓</t>
        </is>
      </c>
    </row>
    <row r="182">
      <c r="A182" t="inlineStr">
        <is>
          <t>L_V1_ROI</t>
        </is>
      </c>
      <c r="B182" t="n">
        <v>-0.474</v>
      </c>
      <c r="C182" t="n">
        <v>1150</v>
      </c>
      <c r="D182" t="inlineStr">
        <is>
          <t>&lt; .001</t>
        </is>
      </c>
      <c r="E182" t="inlineStr">
        <is>
          <t>[-0.517, -0.428]</t>
        </is>
      </c>
      <c r="F182" t="inlineStr">
        <is>
          <t>&lt; .001</t>
        </is>
      </c>
      <c r="G182" t="inlineStr">
        <is>
          <t>✓</t>
        </is>
      </c>
    </row>
    <row r="183">
      <c r="A183" t="inlineStr">
        <is>
          <t>L_MST_ROI</t>
        </is>
      </c>
      <c r="B183" t="n">
        <v>-0.287</v>
      </c>
      <c r="C183" t="n">
        <v>1150</v>
      </c>
      <c r="D183" t="inlineStr">
        <is>
          <t>&lt; .001</t>
        </is>
      </c>
      <c r="E183" t="inlineStr">
        <is>
          <t>[-0.339, -0.233]</t>
        </is>
      </c>
      <c r="F183" t="inlineStr">
        <is>
          <t>&lt; .001</t>
        </is>
      </c>
      <c r="G183" t="inlineStr">
        <is>
          <t>✓</t>
        </is>
      </c>
    </row>
    <row r="184">
      <c r="A184" t="inlineStr">
        <is>
          <t>L_V6_ROI</t>
        </is>
      </c>
      <c r="B184" t="n">
        <v>-0.361</v>
      </c>
      <c r="C184" t="n">
        <v>1150</v>
      </c>
      <c r="D184" t="inlineStr">
        <is>
          <t>&lt; .001</t>
        </is>
      </c>
      <c r="E184" t="inlineStr">
        <is>
          <t>[-0.410, -0.310]</t>
        </is>
      </c>
      <c r="F184" t="inlineStr">
        <is>
          <t>&lt; .001</t>
        </is>
      </c>
      <c r="G184" t="inlineStr">
        <is>
          <t>✓</t>
        </is>
      </c>
    </row>
    <row r="185">
      <c r="A185" t="inlineStr">
        <is>
          <t>L_V2_ROI</t>
        </is>
      </c>
      <c r="B185" t="n">
        <v>-0.413</v>
      </c>
      <c r="C185" t="n">
        <v>1150</v>
      </c>
      <c r="D185" t="inlineStr">
        <is>
          <t>&lt; .001</t>
        </is>
      </c>
      <c r="E185" t="inlineStr">
        <is>
          <t>[-0.459, -0.364]</t>
        </is>
      </c>
      <c r="F185" t="inlineStr">
        <is>
          <t>&lt; .001</t>
        </is>
      </c>
      <c r="G185" t="inlineStr">
        <is>
          <t>✓</t>
        </is>
      </c>
    </row>
    <row r="186">
      <c r="A186" t="inlineStr">
        <is>
          <t>L_V3_ROI</t>
        </is>
      </c>
      <c r="B186" t="n">
        <v>-0.351</v>
      </c>
      <c r="C186" t="n">
        <v>1150</v>
      </c>
      <c r="D186" t="inlineStr">
        <is>
          <t>&lt; .001</t>
        </is>
      </c>
      <c r="E186" t="inlineStr">
        <is>
          <t>[-0.400, -0.299]</t>
        </is>
      </c>
      <c r="F186" t="inlineStr">
        <is>
          <t>&lt; .001</t>
        </is>
      </c>
      <c r="G186" t="inlineStr">
        <is>
          <t>✓</t>
        </is>
      </c>
    </row>
    <row r="187">
      <c r="A187" t="inlineStr">
        <is>
          <t>L_V4_ROI</t>
        </is>
      </c>
      <c r="B187" t="n">
        <v>-0.384</v>
      </c>
      <c r="C187" t="n">
        <v>1150</v>
      </c>
      <c r="D187" t="inlineStr">
        <is>
          <t>&lt; .001</t>
        </is>
      </c>
      <c r="E187" t="inlineStr">
        <is>
          <t>[-0.432, -0.333]</t>
        </is>
      </c>
      <c r="F187" t="inlineStr">
        <is>
          <t>&lt; .001</t>
        </is>
      </c>
      <c r="G187" t="inlineStr">
        <is>
          <t>✓</t>
        </is>
      </c>
    </row>
    <row r="188">
      <c r="A188" t="inlineStr">
        <is>
          <t>L_V8_ROI</t>
        </is>
      </c>
      <c r="B188" t="n">
        <v>-0.231</v>
      </c>
      <c r="C188" t="n">
        <v>1150</v>
      </c>
      <c r="D188" t="inlineStr">
        <is>
          <t>&lt; .001</t>
        </is>
      </c>
      <c r="E188" t="inlineStr">
        <is>
          <t>[-0.285, -0.175]</t>
        </is>
      </c>
      <c r="F188" t="inlineStr">
        <is>
          <t>&lt; .001</t>
        </is>
      </c>
      <c r="G188" t="inlineStr">
        <is>
          <t>✓</t>
        </is>
      </c>
    </row>
    <row r="189">
      <c r="A189" t="inlineStr">
        <is>
          <t>L_4_ROI</t>
        </is>
      </c>
      <c r="B189" t="n">
        <v>-0.512</v>
      </c>
      <c r="C189" t="n">
        <v>1150</v>
      </c>
      <c r="D189" t="inlineStr">
        <is>
          <t>&lt; .001</t>
        </is>
      </c>
      <c r="E189" t="inlineStr">
        <is>
          <t>[-0.553, -0.468]</t>
        </is>
      </c>
      <c r="F189" t="inlineStr">
        <is>
          <t>&lt; .001</t>
        </is>
      </c>
      <c r="G189" t="inlineStr">
        <is>
          <t>✓</t>
        </is>
      </c>
    </row>
    <row r="190">
      <c r="A190" t="inlineStr">
        <is>
          <t>L_3b_ROI</t>
        </is>
      </c>
      <c r="B190" t="n">
        <v>-0.385</v>
      </c>
      <c r="C190" t="n">
        <v>1150</v>
      </c>
      <c r="D190" t="inlineStr">
        <is>
          <t>&lt; .001</t>
        </is>
      </c>
      <c r="E190" t="inlineStr">
        <is>
          <t>[-0.433, -0.335]</t>
        </is>
      </c>
      <c r="F190" t="inlineStr">
        <is>
          <t>&lt; .001</t>
        </is>
      </c>
      <c r="G190" t="inlineStr">
        <is>
          <t>✓</t>
        </is>
      </c>
    </row>
    <row r="191">
      <c r="A191" t="inlineStr">
        <is>
          <t>L_FEF_ROI</t>
        </is>
      </c>
      <c r="B191" t="n">
        <v>-0.42</v>
      </c>
      <c r="C191" t="n">
        <v>1150</v>
      </c>
      <c r="D191" t="inlineStr">
        <is>
          <t>&lt; .001</t>
        </is>
      </c>
      <c r="E191" t="inlineStr">
        <is>
          <t>[-0.467, -0.371]</t>
        </is>
      </c>
      <c r="F191" t="inlineStr">
        <is>
          <t>&lt; .001</t>
        </is>
      </c>
      <c r="G191" t="inlineStr">
        <is>
          <t>✓</t>
        </is>
      </c>
    </row>
    <row r="192">
      <c r="A192" t="inlineStr">
        <is>
          <t>L_PEF_ROI</t>
        </is>
      </c>
      <c r="B192" t="n">
        <v>-0.243</v>
      </c>
      <c r="C192" t="n">
        <v>1150</v>
      </c>
      <c r="D192" t="inlineStr">
        <is>
          <t>&lt; .001</t>
        </is>
      </c>
      <c r="E192" t="inlineStr">
        <is>
          <t>[-0.296, -0.188]</t>
        </is>
      </c>
      <c r="F192" t="inlineStr">
        <is>
          <t>&lt; .001</t>
        </is>
      </c>
      <c r="G192" t="inlineStr">
        <is>
          <t>✓</t>
        </is>
      </c>
    </row>
    <row r="193">
      <c r="A193" t="inlineStr">
        <is>
          <t>L_55b_ROI</t>
        </is>
      </c>
      <c r="B193" t="n">
        <v>-0.385</v>
      </c>
      <c r="C193" t="n">
        <v>1150</v>
      </c>
      <c r="D193" t="inlineStr">
        <is>
          <t>&lt; .001</t>
        </is>
      </c>
      <c r="E193" t="inlineStr">
        <is>
          <t>[-0.433, -0.335]</t>
        </is>
      </c>
      <c r="F193" t="inlineStr">
        <is>
          <t>&lt; .001</t>
        </is>
      </c>
      <c r="G193" t="inlineStr">
        <is>
          <t>✓</t>
        </is>
      </c>
    </row>
    <row r="194">
      <c r="A194" t="inlineStr">
        <is>
          <t>L_V3A_ROI</t>
        </is>
      </c>
      <c r="B194" t="n">
        <v>-0.342</v>
      </c>
      <c r="C194" t="n">
        <v>1150</v>
      </c>
      <c r="D194" t="inlineStr">
        <is>
          <t>&lt; .001</t>
        </is>
      </c>
      <c r="E194" t="inlineStr">
        <is>
          <t>[-0.393, -0.290]</t>
        </is>
      </c>
      <c r="F194" t="inlineStr">
        <is>
          <t>&lt; .001</t>
        </is>
      </c>
      <c r="G194" t="inlineStr">
        <is>
          <t>✓</t>
        </is>
      </c>
    </row>
    <row r="195">
      <c r="A195" t="inlineStr">
        <is>
          <t>L_RSC_ROI</t>
        </is>
      </c>
      <c r="B195" t="n">
        <v>-0.446</v>
      </c>
      <c r="C195" t="n">
        <v>1150</v>
      </c>
      <c r="D195" t="inlineStr">
        <is>
          <t>&lt; .001</t>
        </is>
      </c>
      <c r="E195" t="inlineStr">
        <is>
          <t>[-0.491, -0.398]</t>
        </is>
      </c>
      <c r="F195" t="inlineStr">
        <is>
          <t>&lt; .001</t>
        </is>
      </c>
      <c r="G195" t="inlineStr">
        <is>
          <t>✓</t>
        </is>
      </c>
    </row>
    <row r="196">
      <c r="A196" t="inlineStr">
        <is>
          <t>L_POS2_ROI</t>
        </is>
      </c>
      <c r="B196" t="n">
        <v>-0.305</v>
      </c>
      <c r="C196" t="n">
        <v>1150</v>
      </c>
      <c r="D196" t="inlineStr">
        <is>
          <t>&lt; .001</t>
        </is>
      </c>
      <c r="E196" t="inlineStr">
        <is>
          <t>[-0.357, -0.252]</t>
        </is>
      </c>
      <c r="F196" t="inlineStr">
        <is>
          <t>&lt; .001</t>
        </is>
      </c>
      <c r="G196" t="inlineStr">
        <is>
          <t>✓</t>
        </is>
      </c>
    </row>
    <row r="197">
      <c r="A197" t="inlineStr">
        <is>
          <t>L_V7_ROI</t>
        </is>
      </c>
      <c r="B197" t="n">
        <v>-0.218</v>
      </c>
      <c r="C197" t="n">
        <v>1150</v>
      </c>
      <c r="D197" t="inlineStr">
        <is>
          <t>&lt; .001</t>
        </is>
      </c>
      <c r="E197" t="inlineStr">
        <is>
          <t>[-0.273, -0.162]</t>
        </is>
      </c>
      <c r="F197" t="inlineStr">
        <is>
          <t>&lt; .001</t>
        </is>
      </c>
      <c r="G197" t="inlineStr">
        <is>
          <t>✓</t>
        </is>
      </c>
    </row>
    <row r="198">
      <c r="A198" t="inlineStr">
        <is>
          <t>L_IPS1_ROI</t>
        </is>
      </c>
      <c r="B198" t="n">
        <v>-0.272</v>
      </c>
      <c r="C198" t="n">
        <v>1150</v>
      </c>
      <c r="D198" t="inlineStr">
        <is>
          <t>&lt; .001</t>
        </is>
      </c>
      <c r="E198" t="inlineStr">
        <is>
          <t>[-0.324, -0.217]</t>
        </is>
      </c>
      <c r="F198" t="inlineStr">
        <is>
          <t>&lt; .001</t>
        </is>
      </c>
      <c r="G198" t="inlineStr">
        <is>
          <t>✓</t>
        </is>
      </c>
    </row>
    <row r="199">
      <c r="A199" t="inlineStr">
        <is>
          <t>L_FFC_ROI</t>
        </is>
      </c>
      <c r="B199" t="n">
        <v>-0.342</v>
      </c>
      <c r="C199" t="n">
        <v>1150</v>
      </c>
      <c r="D199" t="inlineStr">
        <is>
          <t>&lt; .001</t>
        </is>
      </c>
      <c r="E199" t="inlineStr">
        <is>
          <t>[-0.392, -0.290]</t>
        </is>
      </c>
      <c r="F199" t="inlineStr">
        <is>
          <t>&lt; .001</t>
        </is>
      </c>
      <c r="G199" t="inlineStr">
        <is>
          <t>✓</t>
        </is>
      </c>
    </row>
    <row r="200">
      <c r="A200" t="inlineStr">
        <is>
          <t>L_V3B_ROI</t>
        </is>
      </c>
      <c r="B200" t="n">
        <v>-0.327</v>
      </c>
      <c r="C200" t="n">
        <v>1150</v>
      </c>
      <c r="D200" t="inlineStr">
        <is>
          <t>&lt; .001</t>
        </is>
      </c>
      <c r="E200" t="inlineStr">
        <is>
          <t>[-0.378, -0.275]</t>
        </is>
      </c>
      <c r="F200" t="inlineStr">
        <is>
          <t>&lt; .001</t>
        </is>
      </c>
      <c r="G200" t="inlineStr">
        <is>
          <t>✓</t>
        </is>
      </c>
    </row>
    <row r="201">
      <c r="A201" t="inlineStr">
        <is>
          <t>L_LO1_ROI</t>
        </is>
      </c>
      <c r="B201" t="n">
        <v>-0.253</v>
      </c>
      <c r="C201" t="n">
        <v>1150</v>
      </c>
      <c r="D201" t="inlineStr">
        <is>
          <t>&lt; .001</t>
        </is>
      </c>
      <c r="E201" t="inlineStr">
        <is>
          <t>[-0.306, -0.198]</t>
        </is>
      </c>
      <c r="F201" t="inlineStr">
        <is>
          <t>&lt; .001</t>
        </is>
      </c>
      <c r="G201" t="inlineStr">
        <is>
          <t>✓</t>
        </is>
      </c>
    </row>
    <row r="202">
      <c r="A202" t="inlineStr">
        <is>
          <t>L_LO2_ROI</t>
        </is>
      </c>
      <c r="B202" t="n">
        <v>-0.211</v>
      </c>
      <c r="C202" t="n">
        <v>1150</v>
      </c>
      <c r="D202" t="inlineStr">
        <is>
          <t>&lt; .001</t>
        </is>
      </c>
      <c r="E202" t="inlineStr">
        <is>
          <t>[-0.266, -0.155]</t>
        </is>
      </c>
      <c r="F202" t="inlineStr">
        <is>
          <t>&lt; .001</t>
        </is>
      </c>
      <c r="G202" t="inlineStr">
        <is>
          <t>✓</t>
        </is>
      </c>
    </row>
    <row r="203">
      <c r="A203" t="inlineStr">
        <is>
          <t>L_PIT_ROI</t>
        </is>
      </c>
      <c r="B203" t="n">
        <v>-0.172</v>
      </c>
      <c r="C203" t="n">
        <v>1150</v>
      </c>
      <c r="D203" t="inlineStr">
        <is>
          <t>&lt; .001</t>
        </is>
      </c>
      <c r="E203" t="inlineStr">
        <is>
          <t>[-0.227, -0.115]</t>
        </is>
      </c>
      <c r="F203" t="inlineStr">
        <is>
          <t>&lt; .001</t>
        </is>
      </c>
      <c r="G203" t="inlineStr">
        <is>
          <t>✓</t>
        </is>
      </c>
    </row>
    <row r="204">
      <c r="A204" t="inlineStr">
        <is>
          <t>L_MT_ROI</t>
        </is>
      </c>
      <c r="B204" t="n">
        <v>-0.284</v>
      </c>
      <c r="C204" t="n">
        <v>1150</v>
      </c>
      <c r="D204" t="inlineStr">
        <is>
          <t>&lt; .001</t>
        </is>
      </c>
      <c r="E204" t="inlineStr">
        <is>
          <t>[-0.336, -0.230]</t>
        </is>
      </c>
      <c r="F204" t="inlineStr">
        <is>
          <t>&lt; .001</t>
        </is>
      </c>
      <c r="G204" t="inlineStr">
        <is>
          <t>✓</t>
        </is>
      </c>
    </row>
    <row r="205">
      <c r="A205" t="inlineStr">
        <is>
          <t>L_A1_ROI</t>
        </is>
      </c>
      <c r="B205" t="n">
        <v>-0.321</v>
      </c>
      <c r="C205" t="n">
        <v>1150</v>
      </c>
      <c r="D205" t="inlineStr">
        <is>
          <t>&lt; .001</t>
        </is>
      </c>
      <c r="E205" t="inlineStr">
        <is>
          <t>[-0.372, -0.268]</t>
        </is>
      </c>
      <c r="F205" t="inlineStr">
        <is>
          <t>&lt; .001</t>
        </is>
      </c>
      <c r="G205" t="inlineStr">
        <is>
          <t>✓</t>
        </is>
      </c>
    </row>
    <row r="206">
      <c r="A206" t="inlineStr">
        <is>
          <t>L_PSL_ROI</t>
        </is>
      </c>
      <c r="B206" t="n">
        <v>-0.273</v>
      </c>
      <c r="C206" t="n">
        <v>1150</v>
      </c>
      <c r="D206" t="inlineStr">
        <is>
          <t>&lt; .001</t>
        </is>
      </c>
      <c r="E206" t="inlineStr">
        <is>
          <t>[-0.325, -0.218]</t>
        </is>
      </c>
      <c r="F206" t="inlineStr">
        <is>
          <t>&lt; .001</t>
        </is>
      </c>
      <c r="G206" t="inlineStr">
        <is>
          <t>✓</t>
        </is>
      </c>
    </row>
    <row r="207">
      <c r="A207" t="inlineStr">
        <is>
          <t>L_SFL_ROI</t>
        </is>
      </c>
      <c r="B207" t="n">
        <v>-0.387</v>
      </c>
      <c r="C207" t="n">
        <v>1150</v>
      </c>
      <c r="D207" t="inlineStr">
        <is>
          <t>&lt; .001</t>
        </is>
      </c>
      <c r="E207" t="inlineStr">
        <is>
          <t>[-0.435, -0.337]</t>
        </is>
      </c>
      <c r="F207" t="inlineStr">
        <is>
          <t>&lt; .001</t>
        </is>
      </c>
      <c r="G207" t="inlineStr">
        <is>
          <t>✓</t>
        </is>
      </c>
    </row>
    <row r="208">
      <c r="A208" t="inlineStr">
        <is>
          <t>L_PCV_ROI</t>
        </is>
      </c>
      <c r="B208" t="n">
        <v>-0.319</v>
      </c>
      <c r="C208" t="n">
        <v>1150</v>
      </c>
      <c r="D208" t="inlineStr">
        <is>
          <t>&lt; .001</t>
        </is>
      </c>
      <c r="E208" t="inlineStr">
        <is>
          <t>[-0.370, -0.266]</t>
        </is>
      </c>
      <c r="F208" t="inlineStr">
        <is>
          <t>&lt; .001</t>
        </is>
      </c>
      <c r="G208" t="inlineStr">
        <is>
          <t>✓</t>
        </is>
      </c>
    </row>
    <row r="209">
      <c r="A209" t="inlineStr">
        <is>
          <t>L_STV_ROI</t>
        </is>
      </c>
      <c r="B209" t="n">
        <v>-0.271</v>
      </c>
      <c r="C209" t="n">
        <v>1150</v>
      </c>
      <c r="D209" t="inlineStr">
        <is>
          <t>&lt; .001</t>
        </is>
      </c>
      <c r="E209" t="inlineStr">
        <is>
          <t>[-0.324, -0.217]</t>
        </is>
      </c>
      <c r="F209" t="inlineStr">
        <is>
          <t>&lt; .001</t>
        </is>
      </c>
      <c r="G209" t="inlineStr">
        <is>
          <t>✓</t>
        </is>
      </c>
    </row>
    <row r="210">
      <c r="A210" t="inlineStr">
        <is>
          <t>L_7Pm_ROI</t>
        </is>
      </c>
      <c r="B210" t="n">
        <v>-0.185</v>
      </c>
      <c r="C210" t="n">
        <v>1150</v>
      </c>
      <c r="D210" t="inlineStr">
        <is>
          <t>&lt; .001</t>
        </is>
      </c>
      <c r="E210" t="inlineStr">
        <is>
          <t>[-0.240, -0.129]</t>
        </is>
      </c>
      <c r="F210" t="inlineStr">
        <is>
          <t>&lt; .001</t>
        </is>
      </c>
      <c r="G210" t="inlineStr">
        <is>
          <t>✓</t>
        </is>
      </c>
    </row>
    <row r="211">
      <c r="A211" t="inlineStr">
        <is>
          <t>L_7m_ROI</t>
        </is>
      </c>
      <c r="B211" t="n">
        <v>-0.346</v>
      </c>
      <c r="C211" t="n">
        <v>1150</v>
      </c>
      <c r="D211" t="inlineStr">
        <is>
          <t>&lt; .001</t>
        </is>
      </c>
      <c r="E211" t="inlineStr">
        <is>
          <t>[-0.396, -0.294]</t>
        </is>
      </c>
      <c r="F211" t="inlineStr">
        <is>
          <t>&lt; .001</t>
        </is>
      </c>
      <c r="G211" t="inlineStr">
        <is>
          <t>✓</t>
        </is>
      </c>
    </row>
    <row r="212">
      <c r="A212" t="inlineStr">
        <is>
          <t>L_POS1_ROI</t>
        </is>
      </c>
      <c r="B212" t="n">
        <v>-0.368</v>
      </c>
      <c r="C212" t="n">
        <v>1150</v>
      </c>
      <c r="D212" t="inlineStr">
        <is>
          <t>&lt; .001</t>
        </is>
      </c>
      <c r="E212" t="inlineStr">
        <is>
          <t>[-0.417, -0.317]</t>
        </is>
      </c>
      <c r="F212" t="inlineStr">
        <is>
          <t>&lt; .001</t>
        </is>
      </c>
      <c r="G212" t="inlineStr">
        <is>
          <t>✓</t>
        </is>
      </c>
    </row>
    <row r="213">
      <c r="A213" t="inlineStr">
        <is>
          <t>L_23d_ROI</t>
        </is>
      </c>
      <c r="B213" t="n">
        <v>-0.353</v>
      </c>
      <c r="C213" t="n">
        <v>1150</v>
      </c>
      <c r="D213" t="inlineStr">
        <is>
          <t>&lt; .001</t>
        </is>
      </c>
      <c r="E213" t="inlineStr">
        <is>
          <t>[-0.403, -0.301]</t>
        </is>
      </c>
      <c r="F213" t="inlineStr">
        <is>
          <t>&lt; .001</t>
        </is>
      </c>
      <c r="G213" t="inlineStr">
        <is>
          <t>✓</t>
        </is>
      </c>
    </row>
    <row r="214">
      <c r="A214" t="inlineStr">
        <is>
          <t>L_v23ab_ROI</t>
        </is>
      </c>
      <c r="B214" t="n">
        <v>-0.257</v>
      </c>
      <c r="C214" t="n">
        <v>1150</v>
      </c>
      <c r="D214" t="inlineStr">
        <is>
          <t>&lt; .001</t>
        </is>
      </c>
      <c r="E214" t="inlineStr">
        <is>
          <t>[-0.311, -0.203]</t>
        </is>
      </c>
      <c r="F214" t="inlineStr">
        <is>
          <t>&lt; .001</t>
        </is>
      </c>
      <c r="G214" t="inlineStr">
        <is>
          <t>✓</t>
        </is>
      </c>
    </row>
    <row r="215">
      <c r="A215" t="inlineStr">
        <is>
          <t>L_d23ab_ROI</t>
        </is>
      </c>
      <c r="B215" t="n">
        <v>-0.443</v>
      </c>
      <c r="C215" t="n">
        <v>1150</v>
      </c>
      <c r="D215" t="inlineStr">
        <is>
          <t>&lt; .001</t>
        </is>
      </c>
      <c r="E215" t="inlineStr">
        <is>
          <t>[-0.488, -0.396]</t>
        </is>
      </c>
      <c r="F215" t="inlineStr">
        <is>
          <t>&lt; .001</t>
        </is>
      </c>
      <c r="G215" t="inlineStr">
        <is>
          <t>✓</t>
        </is>
      </c>
    </row>
    <row r="216">
      <c r="A216" t="inlineStr">
        <is>
          <t>L_31pv_ROI</t>
        </is>
      </c>
      <c r="B216" t="n">
        <v>-0.406</v>
      </c>
      <c r="C216" t="n">
        <v>1150</v>
      </c>
      <c r="D216" t="inlineStr">
        <is>
          <t>&lt; .001</t>
        </is>
      </c>
      <c r="E216" t="inlineStr">
        <is>
          <t>[-0.453, -0.356]</t>
        </is>
      </c>
      <c r="F216" t="inlineStr">
        <is>
          <t>&lt; .001</t>
        </is>
      </c>
      <c r="G216" t="inlineStr">
        <is>
          <t>✓</t>
        </is>
      </c>
    </row>
    <row r="217">
      <c r="A217" t="inlineStr">
        <is>
          <t>L_5m_ROI</t>
        </is>
      </c>
      <c r="B217" t="n">
        <v>-0.354</v>
      </c>
      <c r="C217" t="n">
        <v>1150</v>
      </c>
      <c r="D217" t="inlineStr">
        <is>
          <t>&lt; .001</t>
        </is>
      </c>
      <c r="E217" t="inlineStr">
        <is>
          <t>[-0.403, -0.302]</t>
        </is>
      </c>
      <c r="F217" t="inlineStr">
        <is>
          <t>&lt; .001</t>
        </is>
      </c>
      <c r="G217" t="inlineStr">
        <is>
          <t>✓</t>
        </is>
      </c>
    </row>
    <row r="218">
      <c r="A218" t="inlineStr">
        <is>
          <t>L_5mv_ROI</t>
        </is>
      </c>
      <c r="B218" t="n">
        <v>-0.274</v>
      </c>
      <c r="C218" t="n">
        <v>1150</v>
      </c>
      <c r="D218" t="inlineStr">
        <is>
          <t>&lt; .001</t>
        </is>
      </c>
      <c r="E218" t="inlineStr">
        <is>
          <t>[-0.326, -0.219]</t>
        </is>
      </c>
      <c r="F218" t="inlineStr">
        <is>
          <t>&lt; .001</t>
        </is>
      </c>
      <c r="G218" t="inlineStr">
        <is>
          <t>✓</t>
        </is>
      </c>
    </row>
    <row r="219">
      <c r="A219" t="inlineStr">
        <is>
          <t>L_23c_ROI</t>
        </is>
      </c>
      <c r="B219" t="n">
        <v>-0.51</v>
      </c>
      <c r="C219" t="n">
        <v>1150</v>
      </c>
      <c r="D219" t="inlineStr">
        <is>
          <t>&lt; .001</t>
        </is>
      </c>
      <c r="E219" t="inlineStr">
        <is>
          <t>[-0.552, -0.466]</t>
        </is>
      </c>
      <c r="F219" t="inlineStr">
        <is>
          <t>&lt; .001</t>
        </is>
      </c>
      <c r="G219" t="inlineStr">
        <is>
          <t>✓</t>
        </is>
      </c>
    </row>
    <row r="220">
      <c r="A220" t="inlineStr">
        <is>
          <t>L_5L_ROI</t>
        </is>
      </c>
      <c r="B220" t="n">
        <v>-0.239</v>
      </c>
      <c r="C220" t="n">
        <v>1150</v>
      </c>
      <c r="D220" t="inlineStr">
        <is>
          <t>&lt; .001</t>
        </is>
      </c>
      <c r="E220" t="inlineStr">
        <is>
          <t>[-0.293, -0.184]</t>
        </is>
      </c>
      <c r="F220" t="inlineStr">
        <is>
          <t>&lt; .001</t>
        </is>
      </c>
      <c r="G220" t="inlineStr">
        <is>
          <t>✓</t>
        </is>
      </c>
    </row>
    <row r="221">
      <c r="A221" t="inlineStr">
        <is>
          <t>L_24dd_ROI</t>
        </is>
      </c>
      <c r="B221" t="n">
        <v>-0.347</v>
      </c>
      <c r="C221" t="n">
        <v>1150</v>
      </c>
      <c r="D221" t="inlineStr">
        <is>
          <t>&lt; .001</t>
        </is>
      </c>
      <c r="E221" t="inlineStr">
        <is>
          <t>[-0.397, -0.295]</t>
        </is>
      </c>
      <c r="F221" t="inlineStr">
        <is>
          <t>&lt; .001</t>
        </is>
      </c>
      <c r="G221" t="inlineStr">
        <is>
          <t>✓</t>
        </is>
      </c>
    </row>
    <row r="222">
      <c r="A222" t="inlineStr">
        <is>
          <t>L_24dv_ROI</t>
        </is>
      </c>
      <c r="B222" t="n">
        <v>-0.41</v>
      </c>
      <c r="C222" t="n">
        <v>1150</v>
      </c>
      <c r="D222" t="inlineStr">
        <is>
          <t>&lt; .001</t>
        </is>
      </c>
      <c r="E222" t="inlineStr">
        <is>
          <t>[-0.457, -0.361]</t>
        </is>
      </c>
      <c r="F222" t="inlineStr">
        <is>
          <t>&lt; .001</t>
        </is>
      </c>
      <c r="G222" t="inlineStr">
        <is>
          <t>✓</t>
        </is>
      </c>
    </row>
    <row r="223">
      <c r="A223" t="inlineStr">
        <is>
          <t>L_7AL_ROI</t>
        </is>
      </c>
      <c r="B223" t="n">
        <v>-0.336</v>
      </c>
      <c r="C223" t="n">
        <v>1150</v>
      </c>
      <c r="D223" t="inlineStr">
        <is>
          <t>&lt; .001</t>
        </is>
      </c>
      <c r="E223" t="inlineStr">
        <is>
          <t>[-0.386, -0.284]</t>
        </is>
      </c>
      <c r="F223" t="inlineStr">
        <is>
          <t>&lt; .001</t>
        </is>
      </c>
      <c r="G223" t="inlineStr">
        <is>
          <t>✓</t>
        </is>
      </c>
    </row>
    <row r="224">
      <c r="A224" t="inlineStr">
        <is>
          <t>L_SCEF_ROI</t>
        </is>
      </c>
      <c r="B224" t="n">
        <v>-0.424</v>
      </c>
      <c r="C224" t="n">
        <v>1150</v>
      </c>
      <c r="D224" t="inlineStr">
        <is>
          <t>&lt; .001</t>
        </is>
      </c>
      <c r="E224" t="inlineStr">
        <is>
          <t>[-0.470, -0.375]</t>
        </is>
      </c>
      <c r="F224" t="inlineStr">
        <is>
          <t>&lt; .001</t>
        </is>
      </c>
      <c r="G224" t="inlineStr">
        <is>
          <t>✓</t>
        </is>
      </c>
    </row>
    <row r="225">
      <c r="A225" t="inlineStr">
        <is>
          <t>L_6ma_ROI</t>
        </is>
      </c>
      <c r="B225" t="n">
        <v>-0.402</v>
      </c>
      <c r="C225" t="n">
        <v>1150</v>
      </c>
      <c r="D225" t="inlineStr">
        <is>
          <t>&lt; .001</t>
        </is>
      </c>
      <c r="E225" t="inlineStr">
        <is>
          <t>[-0.449, -0.352]</t>
        </is>
      </c>
      <c r="F225" t="inlineStr">
        <is>
          <t>&lt; .001</t>
        </is>
      </c>
      <c r="G225" t="inlineStr">
        <is>
          <t>✓</t>
        </is>
      </c>
    </row>
    <row r="226">
      <c r="A226" t="inlineStr">
        <is>
          <t>L_7Am_ROI</t>
        </is>
      </c>
      <c r="B226" t="n">
        <v>-0.371</v>
      </c>
      <c r="C226" t="n">
        <v>1150</v>
      </c>
      <c r="D226" t="inlineStr">
        <is>
          <t>&lt; .001</t>
        </is>
      </c>
      <c r="E226" t="inlineStr">
        <is>
          <t>[-0.420, -0.320]</t>
        </is>
      </c>
      <c r="F226" t="inlineStr">
        <is>
          <t>&lt; .001</t>
        </is>
      </c>
      <c r="G226" t="inlineStr">
        <is>
          <t>✓</t>
        </is>
      </c>
    </row>
    <row r="227">
      <c r="A227" t="inlineStr">
        <is>
          <t>L_7PL_ROI</t>
        </is>
      </c>
      <c r="B227" t="n">
        <v>-0.26</v>
      </c>
      <c r="C227" t="n">
        <v>1150</v>
      </c>
      <c r="D227" t="inlineStr">
        <is>
          <t>&lt; .001</t>
        </is>
      </c>
      <c r="E227" t="inlineStr">
        <is>
          <t>[-0.314, -0.206]</t>
        </is>
      </c>
      <c r="F227" t="inlineStr">
        <is>
          <t>&lt; .001</t>
        </is>
      </c>
      <c r="G227" t="inlineStr">
        <is>
          <t>✓</t>
        </is>
      </c>
    </row>
    <row r="228">
      <c r="A228" t="inlineStr">
        <is>
          <t>L_7PC_ROI</t>
        </is>
      </c>
      <c r="B228" t="n">
        <v>-0.33</v>
      </c>
      <c r="C228" t="n">
        <v>1150</v>
      </c>
      <c r="D228" t="inlineStr">
        <is>
          <t>&lt; .001</t>
        </is>
      </c>
      <c r="E228" t="inlineStr">
        <is>
          <t>[-0.380, -0.277]</t>
        </is>
      </c>
      <c r="F228" t="inlineStr">
        <is>
          <t>&lt; .001</t>
        </is>
      </c>
      <c r="G228" t="inlineStr">
        <is>
          <t>✓</t>
        </is>
      </c>
    </row>
    <row r="229">
      <c r="A229" t="inlineStr">
        <is>
          <t>L_LIPv_ROI</t>
        </is>
      </c>
      <c r="B229" t="n">
        <v>-0.335</v>
      </c>
      <c r="C229" t="n">
        <v>1150</v>
      </c>
      <c r="D229" t="inlineStr">
        <is>
          <t>&lt; .001</t>
        </is>
      </c>
      <c r="E229" t="inlineStr">
        <is>
          <t>[-0.385, -0.282]</t>
        </is>
      </c>
      <c r="F229" t="inlineStr">
        <is>
          <t>&lt; .001</t>
        </is>
      </c>
      <c r="G229" t="inlineStr">
        <is>
          <t>✓</t>
        </is>
      </c>
    </row>
    <row r="230">
      <c r="A230" t="inlineStr">
        <is>
          <t>L_VIP_ROI</t>
        </is>
      </c>
      <c r="B230" t="n">
        <v>-0.306</v>
      </c>
      <c r="C230" t="n">
        <v>1150</v>
      </c>
      <c r="D230" t="inlineStr">
        <is>
          <t>&lt; .001</t>
        </is>
      </c>
      <c r="E230" t="inlineStr">
        <is>
          <t>[-0.357, -0.253]</t>
        </is>
      </c>
      <c r="F230" t="inlineStr">
        <is>
          <t>&lt; .001</t>
        </is>
      </c>
      <c r="G230" t="inlineStr">
        <is>
          <t>✓</t>
        </is>
      </c>
    </row>
    <row r="231">
      <c r="A231" t="inlineStr">
        <is>
          <t>L_MIP_ROI</t>
        </is>
      </c>
      <c r="B231" t="n">
        <v>-0.2</v>
      </c>
      <c r="C231" t="n">
        <v>1150</v>
      </c>
      <c r="D231" t="inlineStr">
        <is>
          <t>&lt; .001</t>
        </is>
      </c>
      <c r="E231" t="inlineStr">
        <is>
          <t>[-0.255, -0.144]</t>
        </is>
      </c>
      <c r="F231" t="inlineStr">
        <is>
          <t>&lt; .001</t>
        </is>
      </c>
      <c r="G231" t="inlineStr">
        <is>
          <t>✓</t>
        </is>
      </c>
    </row>
    <row r="232">
      <c r="A232" t="inlineStr">
        <is>
          <t>L_1_ROI</t>
        </is>
      </c>
      <c r="B232" t="n">
        <v>-0.484</v>
      </c>
      <c r="C232" t="n">
        <v>1150</v>
      </c>
      <c r="D232" t="inlineStr">
        <is>
          <t>&lt; .001</t>
        </is>
      </c>
      <c r="E232" t="inlineStr">
        <is>
          <t>[-0.527, -0.439]</t>
        </is>
      </c>
      <c r="F232" t="inlineStr">
        <is>
          <t>&lt; .001</t>
        </is>
      </c>
      <c r="G232" t="inlineStr">
        <is>
          <t>✓</t>
        </is>
      </c>
    </row>
    <row r="233">
      <c r="A233" t="inlineStr">
        <is>
          <t>L_2_ROI</t>
        </is>
      </c>
      <c r="B233" t="n">
        <v>-0.41</v>
      </c>
      <c r="C233" t="n">
        <v>1150</v>
      </c>
      <c r="D233" t="inlineStr">
        <is>
          <t>&lt; .001</t>
        </is>
      </c>
      <c r="E233" t="inlineStr">
        <is>
          <t>[-0.457, -0.360]</t>
        </is>
      </c>
      <c r="F233" t="inlineStr">
        <is>
          <t>&lt; .001</t>
        </is>
      </c>
      <c r="G233" t="inlineStr">
        <is>
          <t>✓</t>
        </is>
      </c>
    </row>
    <row r="234">
      <c r="A234" t="inlineStr">
        <is>
          <t>L_3a_ROI</t>
        </is>
      </c>
      <c r="B234" t="n">
        <v>-0.323</v>
      </c>
      <c r="C234" t="n">
        <v>1150</v>
      </c>
      <c r="D234" t="inlineStr">
        <is>
          <t>&lt; .001</t>
        </is>
      </c>
      <c r="E234" t="inlineStr">
        <is>
          <t>[-0.374, -0.270]</t>
        </is>
      </c>
      <c r="F234" t="inlineStr">
        <is>
          <t>&lt; .001</t>
        </is>
      </c>
      <c r="G234" t="inlineStr">
        <is>
          <t>✓</t>
        </is>
      </c>
    </row>
    <row r="235">
      <c r="A235" t="inlineStr">
        <is>
          <t>L_6d_ROI</t>
        </is>
      </c>
      <c r="B235" t="n">
        <v>-0.286</v>
      </c>
      <c r="C235" t="n">
        <v>1150</v>
      </c>
      <c r="D235" t="inlineStr">
        <is>
          <t>&lt; .001</t>
        </is>
      </c>
      <c r="E235" t="inlineStr">
        <is>
          <t>[-0.338, -0.232]</t>
        </is>
      </c>
      <c r="F235" t="inlineStr">
        <is>
          <t>&lt; .001</t>
        </is>
      </c>
      <c r="G235" t="inlineStr">
        <is>
          <t>✓</t>
        </is>
      </c>
    </row>
    <row r="236">
      <c r="A236" t="inlineStr">
        <is>
          <t>L_6mp_ROI</t>
        </is>
      </c>
      <c r="B236" t="n">
        <v>-0.341</v>
      </c>
      <c r="C236" t="n">
        <v>1150</v>
      </c>
      <c r="D236" t="inlineStr">
        <is>
          <t>&lt; .001</t>
        </is>
      </c>
      <c r="E236" t="inlineStr">
        <is>
          <t>[-0.391, -0.289]</t>
        </is>
      </c>
      <c r="F236" t="inlineStr">
        <is>
          <t>&lt; .001</t>
        </is>
      </c>
      <c r="G236" t="inlineStr">
        <is>
          <t>✓</t>
        </is>
      </c>
    </row>
    <row r="237">
      <c r="A237" t="inlineStr">
        <is>
          <t>L_6v_ROI</t>
        </is>
      </c>
      <c r="B237" t="n">
        <v>-0.36</v>
      </c>
      <c r="C237" t="n">
        <v>1150</v>
      </c>
      <c r="D237" t="inlineStr">
        <is>
          <t>&lt; .001</t>
        </is>
      </c>
      <c r="E237" t="inlineStr">
        <is>
          <t>[-0.409, -0.308]</t>
        </is>
      </c>
      <c r="F237" t="inlineStr">
        <is>
          <t>&lt; .001</t>
        </is>
      </c>
      <c r="G237" t="inlineStr">
        <is>
          <t>✓</t>
        </is>
      </c>
    </row>
    <row r="238">
      <c r="A238" t="inlineStr">
        <is>
          <t>L_p24pr_ROI</t>
        </is>
      </c>
      <c r="B238" t="n">
        <v>-0.343</v>
      </c>
      <c r="C238" t="n">
        <v>1150</v>
      </c>
      <c r="D238" t="inlineStr">
        <is>
          <t>&lt; .001</t>
        </is>
      </c>
      <c r="E238" t="inlineStr">
        <is>
          <t>[-0.393, -0.291]</t>
        </is>
      </c>
      <c r="F238" t="inlineStr">
        <is>
          <t>&lt; .001</t>
        </is>
      </c>
      <c r="G238" t="inlineStr">
        <is>
          <t>✓</t>
        </is>
      </c>
    </row>
    <row r="239">
      <c r="A239" t="inlineStr">
        <is>
          <t>L_33pr_ROI</t>
        </is>
      </c>
      <c r="B239" t="n">
        <v>-0.306</v>
      </c>
      <c r="C239" t="n">
        <v>1150</v>
      </c>
      <c r="D239" t="inlineStr">
        <is>
          <t>&lt; .001</t>
        </is>
      </c>
      <c r="E239" t="inlineStr">
        <is>
          <t>[-0.358, -0.253]</t>
        </is>
      </c>
      <c r="F239" t="inlineStr">
        <is>
          <t>&lt; .001</t>
        </is>
      </c>
      <c r="G239" t="inlineStr">
        <is>
          <t>✓</t>
        </is>
      </c>
    </row>
    <row r="240">
      <c r="A240" t="inlineStr">
        <is>
          <t>L_a24pr_ROI</t>
        </is>
      </c>
      <c r="B240" t="n">
        <v>-0.318</v>
      </c>
      <c r="C240" t="n">
        <v>1150</v>
      </c>
      <c r="D240" t="inlineStr">
        <is>
          <t>&lt; .001</t>
        </is>
      </c>
      <c r="E240" t="inlineStr">
        <is>
          <t>[-0.369, -0.265]</t>
        </is>
      </c>
      <c r="F240" t="inlineStr">
        <is>
          <t>&lt; .001</t>
        </is>
      </c>
      <c r="G240" t="inlineStr">
        <is>
          <t>✓</t>
        </is>
      </c>
    </row>
    <row r="241">
      <c r="A241" t="inlineStr">
        <is>
          <t>L_p32pr_ROI</t>
        </is>
      </c>
      <c r="B241" t="n">
        <v>-0.42</v>
      </c>
      <c r="C241" t="n">
        <v>1150</v>
      </c>
      <c r="D241" t="inlineStr">
        <is>
          <t>&lt; .001</t>
        </is>
      </c>
      <c r="E241" t="inlineStr">
        <is>
          <t>[-0.467, -0.372]</t>
        </is>
      </c>
      <c r="F241" t="inlineStr">
        <is>
          <t>&lt; .001</t>
        </is>
      </c>
      <c r="G241" t="inlineStr">
        <is>
          <t>✓</t>
        </is>
      </c>
    </row>
    <row r="242">
      <c r="A242" t="inlineStr">
        <is>
          <t>L_a24_ROI</t>
        </is>
      </c>
      <c r="B242" t="n">
        <v>-0.115</v>
      </c>
      <c r="C242" t="n">
        <v>1150</v>
      </c>
      <c r="D242" t="inlineStr">
        <is>
          <t>&lt; .001</t>
        </is>
      </c>
      <c r="E242" t="inlineStr">
        <is>
          <t>[-0.171, -0.057]</t>
        </is>
      </c>
      <c r="F242" t="inlineStr">
        <is>
          <t>&lt; .001</t>
        </is>
      </c>
      <c r="G242" t="inlineStr">
        <is>
          <t>✓</t>
        </is>
      </c>
    </row>
    <row r="243">
      <c r="A243" t="inlineStr">
        <is>
          <t>L_d32_ROI</t>
        </is>
      </c>
      <c r="B243" t="n">
        <v>-0.393</v>
      </c>
      <c r="C243" t="n">
        <v>1150</v>
      </c>
      <c r="D243" t="inlineStr">
        <is>
          <t>&lt; .001</t>
        </is>
      </c>
      <c r="E243" t="inlineStr">
        <is>
          <t>[-0.441, -0.343]</t>
        </is>
      </c>
      <c r="F243" t="inlineStr">
        <is>
          <t>&lt; .001</t>
        </is>
      </c>
      <c r="G243" t="inlineStr">
        <is>
          <t>✓</t>
        </is>
      </c>
    </row>
    <row r="244">
      <c r="A244" t="inlineStr">
        <is>
          <t>L_8BM_ROI</t>
        </is>
      </c>
      <c r="B244" t="n">
        <v>-0.425</v>
      </c>
      <c r="C244" t="n">
        <v>1150</v>
      </c>
      <c r="D244" t="inlineStr">
        <is>
          <t>&lt; .001</t>
        </is>
      </c>
      <c r="E244" t="inlineStr">
        <is>
          <t>[-0.471, -0.376]</t>
        </is>
      </c>
      <c r="F244" t="inlineStr">
        <is>
          <t>&lt; .001</t>
        </is>
      </c>
      <c r="G244" t="inlineStr">
        <is>
          <t>✓</t>
        </is>
      </c>
    </row>
    <row r="245">
      <c r="A245" t="inlineStr">
        <is>
          <t>L_p32_ROI</t>
        </is>
      </c>
      <c r="B245" t="n">
        <v>-0.164</v>
      </c>
      <c r="C245" t="n">
        <v>1150</v>
      </c>
      <c r="D245" t="inlineStr">
        <is>
          <t>&lt; .001</t>
        </is>
      </c>
      <c r="E245" t="inlineStr">
        <is>
          <t>[-0.220, -0.107]</t>
        </is>
      </c>
      <c r="F245" t="inlineStr">
        <is>
          <t>&lt; .001</t>
        </is>
      </c>
      <c r="G245" t="inlineStr">
        <is>
          <t>✓</t>
        </is>
      </c>
    </row>
    <row r="246">
      <c r="A246" t="inlineStr">
        <is>
          <t>L_10r_ROI</t>
        </is>
      </c>
      <c r="B246" t="n">
        <v>-0.129</v>
      </c>
      <c r="C246" t="n">
        <v>1150</v>
      </c>
      <c r="D246" t="inlineStr">
        <is>
          <t>&lt; .001</t>
        </is>
      </c>
      <c r="E246" t="inlineStr">
        <is>
          <t>[-0.185, -0.072]</t>
        </is>
      </c>
      <c r="F246" t="inlineStr">
        <is>
          <t>&lt; .001</t>
        </is>
      </c>
      <c r="G246" t="inlineStr">
        <is>
          <t>✓</t>
        </is>
      </c>
    </row>
    <row r="247">
      <c r="A247" t="inlineStr">
        <is>
          <t>L_47m_ROI</t>
        </is>
      </c>
      <c r="B247" t="n">
        <v>-0.275</v>
      </c>
      <c r="C247" t="n">
        <v>1150</v>
      </c>
      <c r="D247" t="inlineStr">
        <is>
          <t>&lt; .001</t>
        </is>
      </c>
      <c r="E247" t="inlineStr">
        <is>
          <t>[-0.328, -0.221]</t>
        </is>
      </c>
      <c r="F247" t="inlineStr">
        <is>
          <t>&lt; .001</t>
        </is>
      </c>
      <c r="G247" t="inlineStr">
        <is>
          <t>✓</t>
        </is>
      </c>
    </row>
    <row r="248">
      <c r="A248" t="inlineStr">
        <is>
          <t>L_8Av_ROI</t>
        </is>
      </c>
      <c r="B248" t="n">
        <v>-0.364</v>
      </c>
      <c r="C248" t="n">
        <v>1150</v>
      </c>
      <c r="D248" t="inlineStr">
        <is>
          <t>&lt; .001</t>
        </is>
      </c>
      <c r="E248" t="inlineStr">
        <is>
          <t>[-0.413, -0.313]</t>
        </is>
      </c>
      <c r="F248" t="inlineStr">
        <is>
          <t>&lt; .001</t>
        </is>
      </c>
      <c r="G248" t="inlineStr">
        <is>
          <t>✓</t>
        </is>
      </c>
    </row>
    <row r="249">
      <c r="A249" t="inlineStr">
        <is>
          <t>L_8Ad_ROI</t>
        </is>
      </c>
      <c r="B249" t="n">
        <v>-0.413</v>
      </c>
      <c r="C249" t="n">
        <v>1150</v>
      </c>
      <c r="D249" t="inlineStr">
        <is>
          <t>&lt; .001</t>
        </is>
      </c>
      <c r="E249" t="inlineStr">
        <is>
          <t>[-0.460, -0.364]</t>
        </is>
      </c>
      <c r="F249" t="inlineStr">
        <is>
          <t>&lt; .001</t>
        </is>
      </c>
      <c r="G249" t="inlineStr">
        <is>
          <t>✓</t>
        </is>
      </c>
    </row>
    <row r="250">
      <c r="A250" t="inlineStr">
        <is>
          <t>L_9m_ROI</t>
        </is>
      </c>
      <c r="B250" t="n">
        <v>-0.322</v>
      </c>
      <c r="C250" t="n">
        <v>1150</v>
      </c>
      <c r="D250" t="inlineStr">
        <is>
          <t>&lt; .001</t>
        </is>
      </c>
      <c r="E250" t="inlineStr">
        <is>
          <t>[-0.373, -0.269]</t>
        </is>
      </c>
      <c r="F250" t="inlineStr">
        <is>
          <t>&lt; .001</t>
        </is>
      </c>
      <c r="G250" t="inlineStr">
        <is>
          <t>✓</t>
        </is>
      </c>
    </row>
    <row r="251">
      <c r="A251" t="inlineStr">
        <is>
          <t>L_8BL_ROI</t>
        </is>
      </c>
      <c r="B251" t="n">
        <v>-0.36</v>
      </c>
      <c r="C251" t="n">
        <v>1150</v>
      </c>
      <c r="D251" t="inlineStr">
        <is>
          <t>&lt; .001</t>
        </is>
      </c>
      <c r="E251" t="inlineStr">
        <is>
          <t>[-0.410, -0.309]</t>
        </is>
      </c>
      <c r="F251" t="inlineStr">
        <is>
          <t>&lt; .001</t>
        </is>
      </c>
      <c r="G251" t="inlineStr">
        <is>
          <t>✓</t>
        </is>
      </c>
    </row>
    <row r="252">
      <c r="A252" t="inlineStr">
        <is>
          <t>L_9p_ROI</t>
        </is>
      </c>
      <c r="B252" t="n">
        <v>-0.341</v>
      </c>
      <c r="C252" t="n">
        <v>1150</v>
      </c>
      <c r="D252" t="inlineStr">
        <is>
          <t>&lt; .001</t>
        </is>
      </c>
      <c r="E252" t="inlineStr">
        <is>
          <t>[-0.391, -0.289]</t>
        </is>
      </c>
      <c r="F252" t="inlineStr">
        <is>
          <t>&lt; .001</t>
        </is>
      </c>
      <c r="G252" t="inlineStr">
        <is>
          <t>✓</t>
        </is>
      </c>
    </row>
    <row r="253">
      <c r="A253" t="inlineStr">
        <is>
          <t>L_10d_ROI</t>
        </is>
      </c>
      <c r="B253" t="n">
        <v>-0.254</v>
      </c>
      <c r="C253" t="n">
        <v>1150</v>
      </c>
      <c r="D253" t="inlineStr">
        <is>
          <t>&lt; .001</t>
        </is>
      </c>
      <c r="E253" t="inlineStr">
        <is>
          <t>[-0.308, -0.199]</t>
        </is>
      </c>
      <c r="F253" t="inlineStr">
        <is>
          <t>&lt; .001</t>
        </is>
      </c>
      <c r="G253" t="inlineStr">
        <is>
          <t>✓</t>
        </is>
      </c>
    </row>
    <row r="254">
      <c r="A254" t="inlineStr">
        <is>
          <t>L_8C_ROI</t>
        </is>
      </c>
      <c r="B254" t="n">
        <v>-0.428</v>
      </c>
      <c r="C254" t="n">
        <v>1150</v>
      </c>
      <c r="D254" t="inlineStr">
        <is>
          <t>&lt; .001</t>
        </is>
      </c>
      <c r="E254" t="inlineStr">
        <is>
          <t>[-0.474, -0.379]</t>
        </is>
      </c>
      <c r="F254" t="inlineStr">
        <is>
          <t>&lt; .001</t>
        </is>
      </c>
      <c r="G254" t="inlineStr">
        <is>
          <t>✓</t>
        </is>
      </c>
    </row>
    <row r="255">
      <c r="A255" t="inlineStr">
        <is>
          <t>L_44_ROI</t>
        </is>
      </c>
      <c r="B255" t="n">
        <v>-0.304</v>
      </c>
      <c r="C255" t="n">
        <v>1150</v>
      </c>
      <c r="D255" t="inlineStr">
        <is>
          <t>&lt; .001</t>
        </is>
      </c>
      <c r="E255" t="inlineStr">
        <is>
          <t>[-0.355, -0.251]</t>
        </is>
      </c>
      <c r="F255" t="inlineStr">
        <is>
          <t>&lt; .001</t>
        </is>
      </c>
      <c r="G255" t="inlineStr">
        <is>
          <t>✓</t>
        </is>
      </c>
    </row>
    <row r="256">
      <c r="A256" t="inlineStr">
        <is>
          <t>L_45_ROI</t>
        </is>
      </c>
      <c r="B256" t="n">
        <v>-0.361</v>
      </c>
      <c r="C256" t="n">
        <v>1150</v>
      </c>
      <c r="D256" t="inlineStr">
        <is>
          <t>&lt; .001</t>
        </is>
      </c>
      <c r="E256" t="inlineStr">
        <is>
          <t>[-0.410, -0.309]</t>
        </is>
      </c>
      <c r="F256" t="inlineStr">
        <is>
          <t>&lt; .001</t>
        </is>
      </c>
      <c r="G256" t="inlineStr">
        <is>
          <t>✓</t>
        </is>
      </c>
    </row>
    <row r="257">
      <c r="A257" t="inlineStr">
        <is>
          <t>L_47l_ROI</t>
        </is>
      </c>
      <c r="B257" t="n">
        <v>-0.424</v>
      </c>
      <c r="C257" t="n">
        <v>1150</v>
      </c>
      <c r="D257" t="inlineStr">
        <is>
          <t>&lt; .001</t>
        </is>
      </c>
      <c r="E257" t="inlineStr">
        <is>
          <t>[-0.471, -0.376]</t>
        </is>
      </c>
      <c r="F257" t="inlineStr">
        <is>
          <t>&lt; .001</t>
        </is>
      </c>
      <c r="G257" t="inlineStr">
        <is>
          <t>✓</t>
        </is>
      </c>
    </row>
    <row r="258">
      <c r="A258" t="inlineStr">
        <is>
          <t>L_a47r_ROI</t>
        </is>
      </c>
      <c r="B258" t="n">
        <v>-0.396</v>
      </c>
      <c r="C258" t="n">
        <v>1150</v>
      </c>
      <c r="D258" t="inlineStr">
        <is>
          <t>&lt; .001</t>
        </is>
      </c>
      <c r="E258" t="inlineStr">
        <is>
          <t>[-0.444, -0.347]</t>
        </is>
      </c>
      <c r="F258" t="inlineStr">
        <is>
          <t>&lt; .001</t>
        </is>
      </c>
      <c r="G258" t="inlineStr">
        <is>
          <t>✓</t>
        </is>
      </c>
    </row>
    <row r="259">
      <c r="A259" t="inlineStr">
        <is>
          <t>L_6r_ROI</t>
        </is>
      </c>
      <c r="B259" t="n">
        <v>-0.408</v>
      </c>
      <c r="C259" t="n">
        <v>1150</v>
      </c>
      <c r="D259" t="inlineStr">
        <is>
          <t>&lt; .001</t>
        </is>
      </c>
      <c r="E259" t="inlineStr">
        <is>
          <t>[-0.455, -0.359]</t>
        </is>
      </c>
      <c r="F259" t="inlineStr">
        <is>
          <t>&lt; .001</t>
        </is>
      </c>
      <c r="G259" t="inlineStr">
        <is>
          <t>✓</t>
        </is>
      </c>
    </row>
    <row r="260">
      <c r="A260" t="inlineStr">
        <is>
          <t>L_IFJa_ROI</t>
        </is>
      </c>
      <c r="B260" t="n">
        <v>-0.35</v>
      </c>
      <c r="C260" t="n">
        <v>1150</v>
      </c>
      <c r="D260" t="inlineStr">
        <is>
          <t>&lt; .001</t>
        </is>
      </c>
      <c r="E260" t="inlineStr">
        <is>
          <t>[-0.400, -0.298]</t>
        </is>
      </c>
      <c r="F260" t="inlineStr">
        <is>
          <t>&lt; .001</t>
        </is>
      </c>
      <c r="G260" t="inlineStr">
        <is>
          <t>✓</t>
        </is>
      </c>
    </row>
    <row r="261">
      <c r="A261" t="inlineStr">
        <is>
          <t>L_IFJp_ROI</t>
        </is>
      </c>
      <c r="B261" t="n">
        <v>-0.28</v>
      </c>
      <c r="C261" t="n">
        <v>1150</v>
      </c>
      <c r="D261" t="inlineStr">
        <is>
          <t>&lt; .001</t>
        </is>
      </c>
      <c r="E261" t="inlineStr">
        <is>
          <t>[-0.332, -0.226]</t>
        </is>
      </c>
      <c r="F261" t="inlineStr">
        <is>
          <t>&lt; .001</t>
        </is>
      </c>
      <c r="G261" t="inlineStr">
        <is>
          <t>✓</t>
        </is>
      </c>
    </row>
    <row r="262">
      <c r="A262" t="inlineStr">
        <is>
          <t>L_IFSp_ROI</t>
        </is>
      </c>
      <c r="B262" t="n">
        <v>-0.314</v>
      </c>
      <c r="C262" t="n">
        <v>1150</v>
      </c>
      <c r="D262" t="inlineStr">
        <is>
          <t>&lt; .001</t>
        </is>
      </c>
      <c r="E262" t="inlineStr">
        <is>
          <t>[-0.365, -0.261]</t>
        </is>
      </c>
      <c r="F262" t="inlineStr">
        <is>
          <t>&lt; .001</t>
        </is>
      </c>
      <c r="G262" t="inlineStr">
        <is>
          <t>✓</t>
        </is>
      </c>
    </row>
    <row r="263">
      <c r="A263" t="inlineStr">
        <is>
          <t>L_IFSa_ROI</t>
        </is>
      </c>
      <c r="B263" t="n">
        <v>-0.325</v>
      </c>
      <c r="C263" t="n">
        <v>1150</v>
      </c>
      <c r="D263" t="inlineStr">
        <is>
          <t>&lt; .001</t>
        </is>
      </c>
      <c r="E263" t="inlineStr">
        <is>
          <t>[-0.375, -0.272]</t>
        </is>
      </c>
      <c r="F263" t="inlineStr">
        <is>
          <t>&lt; .001</t>
        </is>
      </c>
      <c r="G263" t="inlineStr">
        <is>
          <t>✓</t>
        </is>
      </c>
    </row>
    <row r="264">
      <c r="A264" t="inlineStr">
        <is>
          <t>L_p9_46v_ROI</t>
        </is>
      </c>
      <c r="B264" t="n">
        <v>-0.341</v>
      </c>
      <c r="C264" t="n">
        <v>1150</v>
      </c>
      <c r="D264" t="inlineStr">
        <is>
          <t>&lt; .001</t>
        </is>
      </c>
      <c r="E264" t="inlineStr">
        <is>
          <t>[-0.391, -0.289]</t>
        </is>
      </c>
      <c r="F264" t="inlineStr">
        <is>
          <t>&lt; .001</t>
        </is>
      </c>
      <c r="G264" t="inlineStr">
        <is>
          <t>✓</t>
        </is>
      </c>
    </row>
    <row r="265">
      <c r="A265" t="inlineStr">
        <is>
          <t>L_46_ROI</t>
        </is>
      </c>
      <c r="B265" t="n">
        <v>-0.357</v>
      </c>
      <c r="C265" t="n">
        <v>1150</v>
      </c>
      <c r="D265" t="inlineStr">
        <is>
          <t>&lt; .001</t>
        </is>
      </c>
      <c r="E265" t="inlineStr">
        <is>
          <t>[-0.407, -0.306]</t>
        </is>
      </c>
      <c r="F265" t="inlineStr">
        <is>
          <t>&lt; .001</t>
        </is>
      </c>
      <c r="G265" t="inlineStr">
        <is>
          <t>✓</t>
        </is>
      </c>
    </row>
    <row r="266">
      <c r="A266" t="inlineStr">
        <is>
          <t>L_a9_46v_ROI</t>
        </is>
      </c>
      <c r="B266" t="n">
        <v>-0.346</v>
      </c>
      <c r="C266" t="n">
        <v>1150</v>
      </c>
      <c r="D266" t="inlineStr">
        <is>
          <t>&lt; .001</t>
        </is>
      </c>
      <c r="E266" t="inlineStr">
        <is>
          <t>[-0.396, -0.294]</t>
        </is>
      </c>
      <c r="F266" t="inlineStr">
        <is>
          <t>&lt; .001</t>
        </is>
      </c>
      <c r="G266" t="inlineStr">
        <is>
          <t>✓</t>
        </is>
      </c>
    </row>
    <row r="267">
      <c r="A267" t="inlineStr">
        <is>
          <t>L_9_46d_ROI</t>
        </is>
      </c>
      <c r="B267" t="n">
        <v>-0.417</v>
      </c>
      <c r="C267" t="n">
        <v>1150</v>
      </c>
      <c r="D267" t="inlineStr">
        <is>
          <t>&lt; .001</t>
        </is>
      </c>
      <c r="E267" t="inlineStr">
        <is>
          <t>[-0.464, -0.368]</t>
        </is>
      </c>
      <c r="F267" t="inlineStr">
        <is>
          <t>&lt; .001</t>
        </is>
      </c>
      <c r="G267" t="inlineStr">
        <is>
          <t>✓</t>
        </is>
      </c>
    </row>
    <row r="268">
      <c r="A268" t="inlineStr">
        <is>
          <t>L_9a_ROI</t>
        </is>
      </c>
      <c r="B268" t="n">
        <v>-0.274</v>
      </c>
      <c r="C268" t="n">
        <v>1150</v>
      </c>
      <c r="D268" t="inlineStr">
        <is>
          <t>&lt; .001</t>
        </is>
      </c>
      <c r="E268" t="inlineStr">
        <is>
          <t>[-0.326, -0.219]</t>
        </is>
      </c>
      <c r="F268" t="inlineStr">
        <is>
          <t>&lt; .001</t>
        </is>
      </c>
      <c r="G268" t="inlineStr">
        <is>
          <t>✓</t>
        </is>
      </c>
    </row>
    <row r="269">
      <c r="A269" t="inlineStr">
        <is>
          <t>L_10v_ROI</t>
        </is>
      </c>
      <c r="B269" t="n">
        <v>-0.074</v>
      </c>
      <c r="C269" t="n">
        <v>1150</v>
      </c>
      <c r="D269">
        <f> 0.012</f>
        <v/>
      </c>
      <c r="E269" t="inlineStr">
        <is>
          <t>[-0.131, -0.016]</t>
        </is>
      </c>
      <c r="F269">
        <f> 0.012</f>
        <v/>
      </c>
      <c r="G269" t="inlineStr">
        <is>
          <t>✓</t>
        </is>
      </c>
    </row>
    <row r="270">
      <c r="A270" t="inlineStr">
        <is>
          <t>L_a10p_ROI</t>
        </is>
      </c>
      <c r="B270" t="n">
        <v>-0.326</v>
      </c>
      <c r="C270" t="n">
        <v>1150</v>
      </c>
      <c r="D270" t="inlineStr">
        <is>
          <t>&lt; .001</t>
        </is>
      </c>
      <c r="E270" t="inlineStr">
        <is>
          <t>[-0.376, -0.273]</t>
        </is>
      </c>
      <c r="F270" t="inlineStr">
        <is>
          <t>&lt; .001</t>
        </is>
      </c>
      <c r="G270" t="inlineStr">
        <is>
          <t>✓</t>
        </is>
      </c>
    </row>
    <row r="271">
      <c r="A271" t="inlineStr">
        <is>
          <t>L_10pp_ROI</t>
        </is>
      </c>
      <c r="B271" t="n">
        <v>-0.256</v>
      </c>
      <c r="C271" t="n">
        <v>1150</v>
      </c>
      <c r="D271" t="inlineStr">
        <is>
          <t>&lt; .001</t>
        </is>
      </c>
      <c r="E271" t="inlineStr">
        <is>
          <t>[-0.309, -0.201]</t>
        </is>
      </c>
      <c r="F271" t="inlineStr">
        <is>
          <t>&lt; .001</t>
        </is>
      </c>
      <c r="G271" t="inlineStr">
        <is>
          <t>✓</t>
        </is>
      </c>
    </row>
    <row r="272">
      <c r="A272" t="inlineStr">
        <is>
          <t>L_11l_ROI</t>
        </is>
      </c>
      <c r="B272" t="n">
        <v>-0.22</v>
      </c>
      <c r="C272" t="n">
        <v>1150</v>
      </c>
      <c r="D272" t="inlineStr">
        <is>
          <t>&lt; .001</t>
        </is>
      </c>
      <c r="E272" t="inlineStr">
        <is>
          <t>[-0.275, -0.165]</t>
        </is>
      </c>
      <c r="F272" t="inlineStr">
        <is>
          <t>&lt; .001</t>
        </is>
      </c>
      <c r="G272" t="inlineStr">
        <is>
          <t>✓</t>
        </is>
      </c>
    </row>
    <row r="273">
      <c r="A273" t="inlineStr">
        <is>
          <t>L_13l_ROI</t>
        </is>
      </c>
      <c r="B273" t="n">
        <v>-0.295</v>
      </c>
      <c r="C273" t="n">
        <v>1150</v>
      </c>
      <c r="D273" t="inlineStr">
        <is>
          <t>&lt; .001</t>
        </is>
      </c>
      <c r="E273" t="inlineStr">
        <is>
          <t>[-0.347, -0.241]</t>
        </is>
      </c>
      <c r="F273" t="inlineStr">
        <is>
          <t>&lt; .001</t>
        </is>
      </c>
      <c r="G273" t="inlineStr">
        <is>
          <t>✓</t>
        </is>
      </c>
    </row>
    <row r="274">
      <c r="A274" t="inlineStr">
        <is>
          <t>L_OFC_ROI</t>
        </is>
      </c>
      <c r="B274" t="n">
        <v>0.046</v>
      </c>
      <c r="C274" t="n">
        <v>1150</v>
      </c>
      <c r="D274">
        <f> 0.117</f>
        <v/>
      </c>
      <c r="E274" t="inlineStr">
        <is>
          <t>[-0.012, 0.104]</t>
        </is>
      </c>
      <c r="F274">
        <f> 0.118</f>
        <v/>
      </c>
      <c r="G274" t="inlineStr"/>
    </row>
    <row r="275">
      <c r="A275" t="inlineStr">
        <is>
          <t>L_47s_ROI</t>
        </is>
      </c>
      <c r="B275" t="n">
        <v>-0.28</v>
      </c>
      <c r="C275" t="n">
        <v>1150</v>
      </c>
      <c r="D275" t="inlineStr">
        <is>
          <t>&lt; .001</t>
        </is>
      </c>
      <c r="E275" t="inlineStr">
        <is>
          <t>[-0.333, -0.226]</t>
        </is>
      </c>
      <c r="F275" t="inlineStr">
        <is>
          <t>&lt; .001</t>
        </is>
      </c>
      <c r="G275" t="inlineStr">
        <is>
          <t>✓</t>
        </is>
      </c>
    </row>
    <row r="276">
      <c r="A276" t="inlineStr">
        <is>
          <t>L_LIPd_ROI</t>
        </is>
      </c>
      <c r="B276" t="n">
        <v>-0.312</v>
      </c>
      <c r="C276" t="n">
        <v>1150</v>
      </c>
      <c r="D276" t="inlineStr">
        <is>
          <t>&lt; .001</t>
        </is>
      </c>
      <c r="E276" t="inlineStr">
        <is>
          <t>[-0.364, -0.259]</t>
        </is>
      </c>
      <c r="F276" t="inlineStr">
        <is>
          <t>&lt; .001</t>
        </is>
      </c>
      <c r="G276" t="inlineStr">
        <is>
          <t>✓</t>
        </is>
      </c>
    </row>
    <row r="277">
      <c r="A277" t="inlineStr">
        <is>
          <t>L_6a_ROI</t>
        </is>
      </c>
      <c r="B277" t="n">
        <v>-0.347</v>
      </c>
      <c r="C277" t="n">
        <v>1150</v>
      </c>
      <c r="D277" t="inlineStr">
        <is>
          <t>&lt; .001</t>
        </is>
      </c>
      <c r="E277" t="inlineStr">
        <is>
          <t>[-0.397, -0.295]</t>
        </is>
      </c>
      <c r="F277" t="inlineStr">
        <is>
          <t>&lt; .001</t>
        </is>
      </c>
      <c r="G277" t="inlineStr">
        <is>
          <t>✓</t>
        </is>
      </c>
    </row>
    <row r="278">
      <c r="A278" t="inlineStr">
        <is>
          <t>L_i6_8_ROI</t>
        </is>
      </c>
      <c r="B278" t="n">
        <v>-0.28</v>
      </c>
      <c r="C278" t="n">
        <v>1150</v>
      </c>
      <c r="D278" t="inlineStr">
        <is>
          <t>&lt; .001</t>
        </is>
      </c>
      <c r="E278" t="inlineStr">
        <is>
          <t>[-0.332, -0.226]</t>
        </is>
      </c>
      <c r="F278" t="inlineStr">
        <is>
          <t>&lt; .001</t>
        </is>
      </c>
      <c r="G278" t="inlineStr">
        <is>
          <t>✓</t>
        </is>
      </c>
    </row>
    <row r="279">
      <c r="A279" t="inlineStr">
        <is>
          <t>L_s6_8_ROI</t>
        </is>
      </c>
      <c r="B279" t="n">
        <v>-0.291</v>
      </c>
      <c r="C279" t="n">
        <v>1150</v>
      </c>
      <c r="D279" t="inlineStr">
        <is>
          <t>&lt; .001</t>
        </is>
      </c>
      <c r="E279" t="inlineStr">
        <is>
          <t>[-0.343, -0.238]</t>
        </is>
      </c>
      <c r="F279" t="inlineStr">
        <is>
          <t>&lt; .001</t>
        </is>
      </c>
      <c r="G279" t="inlineStr">
        <is>
          <t>✓</t>
        </is>
      </c>
    </row>
    <row r="280">
      <c r="A280" t="inlineStr">
        <is>
          <t>L_43_ROI</t>
        </is>
      </c>
      <c r="B280" t="n">
        <v>-0.413</v>
      </c>
      <c r="C280" t="n">
        <v>1150</v>
      </c>
      <c r="D280" t="inlineStr">
        <is>
          <t>&lt; .001</t>
        </is>
      </c>
      <c r="E280" t="inlineStr">
        <is>
          <t>[-0.460, -0.364]</t>
        </is>
      </c>
      <c r="F280" t="inlineStr">
        <is>
          <t>&lt; .001</t>
        </is>
      </c>
      <c r="G280" t="inlineStr">
        <is>
          <t>✓</t>
        </is>
      </c>
    </row>
    <row r="281">
      <c r="A281" t="inlineStr">
        <is>
          <t>L_OP4_ROI</t>
        </is>
      </c>
      <c r="B281" t="n">
        <v>-0.33</v>
      </c>
      <c r="C281" t="n">
        <v>1150</v>
      </c>
      <c r="D281" t="inlineStr">
        <is>
          <t>&lt; .001</t>
        </is>
      </c>
      <c r="E281" t="inlineStr">
        <is>
          <t>[-0.381, -0.278]</t>
        </is>
      </c>
      <c r="F281" t="inlineStr">
        <is>
          <t>&lt; .001</t>
        </is>
      </c>
      <c r="G281" t="inlineStr">
        <is>
          <t>✓</t>
        </is>
      </c>
    </row>
    <row r="282">
      <c r="A282" t="inlineStr">
        <is>
          <t>L_OP1_ROI</t>
        </is>
      </c>
      <c r="B282" t="n">
        <v>-0.292</v>
      </c>
      <c r="C282" t="n">
        <v>1150</v>
      </c>
      <c r="D282" t="inlineStr">
        <is>
          <t>&lt; .001</t>
        </is>
      </c>
      <c r="E282" t="inlineStr">
        <is>
          <t>[-0.344, -0.238]</t>
        </is>
      </c>
      <c r="F282" t="inlineStr">
        <is>
          <t>&lt; .001</t>
        </is>
      </c>
      <c r="G282" t="inlineStr">
        <is>
          <t>✓</t>
        </is>
      </c>
    </row>
    <row r="283">
      <c r="A283" t="inlineStr">
        <is>
          <t>L_OP2_3_ROI</t>
        </is>
      </c>
      <c r="B283" t="n">
        <v>-0.323</v>
      </c>
      <c r="C283" t="n">
        <v>1150</v>
      </c>
      <c r="D283" t="inlineStr">
        <is>
          <t>&lt; .001</t>
        </is>
      </c>
      <c r="E283" t="inlineStr">
        <is>
          <t>[-0.374, -0.270]</t>
        </is>
      </c>
      <c r="F283" t="inlineStr">
        <is>
          <t>&lt; .001</t>
        </is>
      </c>
      <c r="G283" t="inlineStr">
        <is>
          <t>✓</t>
        </is>
      </c>
    </row>
    <row r="284">
      <c r="A284" t="inlineStr">
        <is>
          <t>L_52_ROI</t>
        </is>
      </c>
      <c r="B284" t="n">
        <v>-0.287</v>
      </c>
      <c r="C284" t="n">
        <v>1150</v>
      </c>
      <c r="D284" t="inlineStr">
        <is>
          <t>&lt; .001</t>
        </is>
      </c>
      <c r="E284" t="inlineStr">
        <is>
          <t>[-0.339, -0.233]</t>
        </is>
      </c>
      <c r="F284" t="inlineStr">
        <is>
          <t>&lt; .001</t>
        </is>
      </c>
      <c r="G284" t="inlineStr">
        <is>
          <t>✓</t>
        </is>
      </c>
    </row>
    <row r="285">
      <c r="A285" t="inlineStr">
        <is>
          <t>L_RI_ROI</t>
        </is>
      </c>
      <c r="B285" t="n">
        <v>-0.418</v>
      </c>
      <c r="C285" t="n">
        <v>1150</v>
      </c>
      <c r="D285" t="inlineStr">
        <is>
          <t>&lt; .001</t>
        </is>
      </c>
      <c r="E285" t="inlineStr">
        <is>
          <t>[-0.465, -0.369]</t>
        </is>
      </c>
      <c r="F285" t="inlineStr">
        <is>
          <t>&lt; .001</t>
        </is>
      </c>
      <c r="G285" t="inlineStr">
        <is>
          <t>✓</t>
        </is>
      </c>
    </row>
    <row r="286">
      <c r="A286" t="inlineStr">
        <is>
          <t>L_PFcm_ROI</t>
        </is>
      </c>
      <c r="B286" t="n">
        <v>-0.348</v>
      </c>
      <c r="C286" t="n">
        <v>1150</v>
      </c>
      <c r="D286" t="inlineStr">
        <is>
          <t>&lt; .001</t>
        </is>
      </c>
      <c r="E286" t="inlineStr">
        <is>
          <t>[-0.398, -0.296]</t>
        </is>
      </c>
      <c r="F286" t="inlineStr">
        <is>
          <t>&lt; .001</t>
        </is>
      </c>
      <c r="G286" t="inlineStr">
        <is>
          <t>✓</t>
        </is>
      </c>
    </row>
    <row r="287">
      <c r="A287" t="inlineStr">
        <is>
          <t>L_PoI2_ROI</t>
        </is>
      </c>
      <c r="B287" t="n">
        <v>-0.189</v>
      </c>
      <c r="C287" t="n">
        <v>1150</v>
      </c>
      <c r="D287" t="inlineStr">
        <is>
          <t>&lt; .001</t>
        </is>
      </c>
      <c r="E287" t="inlineStr">
        <is>
          <t>[-0.244, -0.133]</t>
        </is>
      </c>
      <c r="F287" t="inlineStr">
        <is>
          <t>&lt; .001</t>
        </is>
      </c>
      <c r="G287" t="inlineStr">
        <is>
          <t>✓</t>
        </is>
      </c>
    </row>
    <row r="288">
      <c r="A288" t="inlineStr">
        <is>
          <t>L_TA2_ROI</t>
        </is>
      </c>
      <c r="B288" t="n">
        <v>-0.309</v>
      </c>
      <c r="C288" t="n">
        <v>1150</v>
      </c>
      <c r="D288" t="inlineStr">
        <is>
          <t>&lt; .001</t>
        </is>
      </c>
      <c r="E288" t="inlineStr">
        <is>
          <t>[-0.360, -0.255]</t>
        </is>
      </c>
      <c r="F288" t="inlineStr">
        <is>
          <t>&lt; .001</t>
        </is>
      </c>
      <c r="G288" t="inlineStr">
        <is>
          <t>✓</t>
        </is>
      </c>
    </row>
    <row r="289">
      <c r="A289" t="inlineStr">
        <is>
          <t>L_FOP4_ROI</t>
        </is>
      </c>
      <c r="B289" t="n">
        <v>-0.384</v>
      </c>
      <c r="C289" t="n">
        <v>1150</v>
      </c>
      <c r="D289" t="inlineStr">
        <is>
          <t>&lt; .001</t>
        </is>
      </c>
      <c r="E289" t="inlineStr">
        <is>
          <t>[-0.432, -0.333]</t>
        </is>
      </c>
      <c r="F289" t="inlineStr">
        <is>
          <t>&lt; .001</t>
        </is>
      </c>
      <c r="G289" t="inlineStr">
        <is>
          <t>✓</t>
        </is>
      </c>
    </row>
    <row r="290">
      <c r="A290" t="inlineStr">
        <is>
          <t>L_MI_ROI</t>
        </is>
      </c>
      <c r="B290" t="n">
        <v>-0.38</v>
      </c>
      <c r="C290" t="n">
        <v>1150</v>
      </c>
      <c r="D290" t="inlineStr">
        <is>
          <t>&lt; .001</t>
        </is>
      </c>
      <c r="E290" t="inlineStr">
        <is>
          <t>[-0.429, -0.330]</t>
        </is>
      </c>
      <c r="F290" t="inlineStr">
        <is>
          <t>&lt; .001</t>
        </is>
      </c>
      <c r="G290" t="inlineStr">
        <is>
          <t>✓</t>
        </is>
      </c>
    </row>
    <row r="291">
      <c r="A291" t="inlineStr">
        <is>
          <t>L_Pir_ROI</t>
        </is>
      </c>
      <c r="B291" t="n">
        <v>-0.065</v>
      </c>
      <c r="C291" t="n">
        <v>1150</v>
      </c>
      <c r="D291">
        <f> 0.028</f>
        <v/>
      </c>
      <c r="E291" t="inlineStr">
        <is>
          <t>[-0.122, -0.007]</t>
        </is>
      </c>
      <c r="F291">
        <f> 0.029</f>
        <v/>
      </c>
      <c r="G291" t="inlineStr">
        <is>
          <t>✓</t>
        </is>
      </c>
    </row>
    <row r="292">
      <c r="A292" t="inlineStr">
        <is>
          <t>L_AVI_ROI</t>
        </is>
      </c>
      <c r="B292" t="n">
        <v>-0.302</v>
      </c>
      <c r="C292" t="n">
        <v>1150</v>
      </c>
      <c r="D292" t="inlineStr">
        <is>
          <t>&lt; .001</t>
        </is>
      </c>
      <c r="E292" t="inlineStr">
        <is>
          <t>[-0.354, -0.249]</t>
        </is>
      </c>
      <c r="F292" t="inlineStr">
        <is>
          <t>&lt; .001</t>
        </is>
      </c>
      <c r="G292" t="inlineStr">
        <is>
          <t>✓</t>
        </is>
      </c>
    </row>
    <row r="293">
      <c r="A293" t="inlineStr">
        <is>
          <t>L_AAIC_ROI</t>
        </is>
      </c>
      <c r="B293" t="n">
        <v>-0.219</v>
      </c>
      <c r="C293" t="n">
        <v>1150</v>
      </c>
      <c r="D293" t="inlineStr">
        <is>
          <t>&lt; .001</t>
        </is>
      </c>
      <c r="E293" t="inlineStr">
        <is>
          <t>[-0.273, -0.163]</t>
        </is>
      </c>
      <c r="F293" t="inlineStr">
        <is>
          <t>&lt; .001</t>
        </is>
      </c>
      <c r="G293" t="inlineStr">
        <is>
          <t>✓</t>
        </is>
      </c>
    </row>
    <row r="294">
      <c r="A294" t="inlineStr">
        <is>
          <t>L_FOP1_ROI</t>
        </is>
      </c>
      <c r="B294" t="n">
        <v>-0.346</v>
      </c>
      <c r="C294" t="n">
        <v>1150</v>
      </c>
      <c r="D294" t="inlineStr">
        <is>
          <t>&lt; .001</t>
        </is>
      </c>
      <c r="E294" t="inlineStr">
        <is>
          <t>[-0.396, -0.294]</t>
        </is>
      </c>
      <c r="F294" t="inlineStr">
        <is>
          <t>&lt; .001</t>
        </is>
      </c>
      <c r="G294" t="inlineStr">
        <is>
          <t>✓</t>
        </is>
      </c>
    </row>
    <row r="295">
      <c r="A295" t="inlineStr">
        <is>
          <t>L_FOP3_ROI</t>
        </is>
      </c>
      <c r="B295" t="n">
        <v>-0.199</v>
      </c>
      <c r="C295" t="n">
        <v>1150</v>
      </c>
      <c r="D295" t="inlineStr">
        <is>
          <t>&lt; .001</t>
        </is>
      </c>
      <c r="E295" t="inlineStr">
        <is>
          <t>[-0.254, -0.143]</t>
        </is>
      </c>
      <c r="F295" t="inlineStr">
        <is>
          <t>&lt; .001</t>
        </is>
      </c>
      <c r="G295" t="inlineStr">
        <is>
          <t>✓</t>
        </is>
      </c>
    </row>
    <row r="296">
      <c r="A296" t="inlineStr">
        <is>
          <t>L_FOP2_ROI</t>
        </is>
      </c>
      <c r="B296" t="n">
        <v>-0.22</v>
      </c>
      <c r="C296" t="n">
        <v>1150</v>
      </c>
      <c r="D296" t="inlineStr">
        <is>
          <t>&lt; .001</t>
        </is>
      </c>
      <c r="E296" t="inlineStr">
        <is>
          <t>[-0.274, -0.164]</t>
        </is>
      </c>
      <c r="F296" t="inlineStr">
        <is>
          <t>&lt; .001</t>
        </is>
      </c>
      <c r="G296" t="inlineStr">
        <is>
          <t>✓</t>
        </is>
      </c>
    </row>
    <row r="297">
      <c r="A297" t="inlineStr">
        <is>
          <t>L_PFt_ROI</t>
        </is>
      </c>
      <c r="B297" t="n">
        <v>-0.395</v>
      </c>
      <c r="C297" t="n">
        <v>1150</v>
      </c>
      <c r="D297" t="inlineStr">
        <is>
          <t>&lt; .001</t>
        </is>
      </c>
      <c r="E297" t="inlineStr">
        <is>
          <t>[-0.443, -0.345]</t>
        </is>
      </c>
      <c r="F297" t="inlineStr">
        <is>
          <t>&lt; .001</t>
        </is>
      </c>
      <c r="G297" t="inlineStr">
        <is>
          <t>✓</t>
        </is>
      </c>
    </row>
    <row r="298">
      <c r="A298" t="inlineStr">
        <is>
          <t>L_AIP_ROI</t>
        </is>
      </c>
      <c r="B298" t="n">
        <v>-0.414</v>
      </c>
      <c r="C298" t="n">
        <v>1150</v>
      </c>
      <c r="D298" t="inlineStr">
        <is>
          <t>&lt; .001</t>
        </is>
      </c>
      <c r="E298" t="inlineStr">
        <is>
          <t>[-0.461, -0.365]</t>
        </is>
      </c>
      <c r="F298" t="inlineStr">
        <is>
          <t>&lt; .001</t>
        </is>
      </c>
      <c r="G298" t="inlineStr">
        <is>
          <t>✓</t>
        </is>
      </c>
    </row>
    <row r="299">
      <c r="A299" t="inlineStr">
        <is>
          <t>L_EC_ROI</t>
        </is>
      </c>
      <c r="B299" t="n">
        <v>-0.158</v>
      </c>
      <c r="C299" t="n">
        <v>1150</v>
      </c>
      <c r="D299" t="inlineStr">
        <is>
          <t>&lt; .001</t>
        </is>
      </c>
      <c r="E299" t="inlineStr">
        <is>
          <t>[-0.214, -0.101]</t>
        </is>
      </c>
      <c r="F299" t="inlineStr">
        <is>
          <t>&lt; .001</t>
        </is>
      </c>
      <c r="G299" t="inlineStr">
        <is>
          <t>✓</t>
        </is>
      </c>
    </row>
    <row r="300">
      <c r="A300" t="inlineStr">
        <is>
          <t>L_PreS_ROI</t>
        </is>
      </c>
      <c r="B300" t="n">
        <v>0.096</v>
      </c>
      <c r="C300" t="n">
        <v>1150</v>
      </c>
      <c r="D300">
        <f> 0.001</f>
        <v/>
      </c>
      <c r="E300" t="inlineStr">
        <is>
          <t>[0.038, 0.153]</t>
        </is>
      </c>
      <c r="F300">
        <f> 0.001</f>
        <v/>
      </c>
      <c r="G300" t="inlineStr">
        <is>
          <t>✓</t>
        </is>
      </c>
    </row>
    <row r="301">
      <c r="A301" t="inlineStr">
        <is>
          <t>L_H_ROI</t>
        </is>
      </c>
      <c r="B301" t="n">
        <v>-0.024</v>
      </c>
      <c r="C301" t="n">
        <v>1150</v>
      </c>
      <c r="D301">
        <f> 0.414</f>
        <v/>
      </c>
      <c r="E301" t="inlineStr">
        <is>
          <t>[-0.082, 0.034]</t>
        </is>
      </c>
      <c r="F301">
        <f> 0.415</f>
        <v/>
      </c>
      <c r="G301" t="inlineStr"/>
    </row>
    <row r="302">
      <c r="A302" t="inlineStr">
        <is>
          <t>L_ProS_ROI</t>
        </is>
      </c>
      <c r="B302" t="n">
        <v>-0.411</v>
      </c>
      <c r="C302" t="n">
        <v>1150</v>
      </c>
      <c r="D302" t="inlineStr">
        <is>
          <t>&lt; .001</t>
        </is>
      </c>
      <c r="E302" t="inlineStr">
        <is>
          <t>[-0.458, -0.362]</t>
        </is>
      </c>
      <c r="F302" t="inlineStr">
        <is>
          <t>&lt; .001</t>
        </is>
      </c>
      <c r="G302" t="inlineStr">
        <is>
          <t>✓</t>
        </is>
      </c>
    </row>
    <row r="303">
      <c r="A303" t="inlineStr">
        <is>
          <t>L_PeEc_ROI</t>
        </is>
      </c>
      <c r="B303" t="n">
        <v>-0.341</v>
      </c>
      <c r="C303" t="n">
        <v>1150</v>
      </c>
      <c r="D303" t="inlineStr">
        <is>
          <t>&lt; .001</t>
        </is>
      </c>
      <c r="E303" t="inlineStr">
        <is>
          <t>[-0.391, -0.289]</t>
        </is>
      </c>
      <c r="F303" t="inlineStr">
        <is>
          <t>&lt; .001</t>
        </is>
      </c>
      <c r="G303" t="inlineStr">
        <is>
          <t>✓</t>
        </is>
      </c>
    </row>
    <row r="304">
      <c r="A304" t="inlineStr">
        <is>
          <t>L_STGa_ROI</t>
        </is>
      </c>
      <c r="B304" t="n">
        <v>-0.314</v>
      </c>
      <c r="C304" t="n">
        <v>1150</v>
      </c>
      <c r="D304" t="inlineStr">
        <is>
          <t>&lt; .001</t>
        </is>
      </c>
      <c r="E304" t="inlineStr">
        <is>
          <t>[-0.365, -0.261]</t>
        </is>
      </c>
      <c r="F304" t="inlineStr">
        <is>
          <t>&lt; .001</t>
        </is>
      </c>
      <c r="G304" t="inlineStr">
        <is>
          <t>✓</t>
        </is>
      </c>
    </row>
    <row r="305">
      <c r="A305" t="inlineStr">
        <is>
          <t>L_PBelt_ROI</t>
        </is>
      </c>
      <c r="B305" t="n">
        <v>-0.408</v>
      </c>
      <c r="C305" t="n">
        <v>1150</v>
      </c>
      <c r="D305" t="inlineStr">
        <is>
          <t>&lt; .001</t>
        </is>
      </c>
      <c r="E305" t="inlineStr">
        <is>
          <t>[-0.455, -0.359]</t>
        </is>
      </c>
      <c r="F305" t="inlineStr">
        <is>
          <t>&lt; .001</t>
        </is>
      </c>
      <c r="G305" t="inlineStr">
        <is>
          <t>✓</t>
        </is>
      </c>
    </row>
    <row r="306">
      <c r="A306" t="inlineStr">
        <is>
          <t>L_A5_ROI</t>
        </is>
      </c>
      <c r="B306" t="n">
        <v>-0.464</v>
      </c>
      <c r="C306" t="n">
        <v>1150</v>
      </c>
      <c r="D306" t="inlineStr">
        <is>
          <t>&lt; .001</t>
        </is>
      </c>
      <c r="E306" t="inlineStr">
        <is>
          <t>[-0.508, -0.418]</t>
        </is>
      </c>
      <c r="F306" t="inlineStr">
        <is>
          <t>&lt; .001</t>
        </is>
      </c>
      <c r="G306" t="inlineStr">
        <is>
          <t>✓</t>
        </is>
      </c>
    </row>
    <row r="307">
      <c r="A307" t="inlineStr">
        <is>
          <t>L_PHA1_ROI</t>
        </is>
      </c>
      <c r="B307" t="n">
        <v>-0.321</v>
      </c>
      <c r="C307" t="n">
        <v>1150</v>
      </c>
      <c r="D307" t="inlineStr">
        <is>
          <t>&lt; .001</t>
        </is>
      </c>
      <c r="E307" t="inlineStr">
        <is>
          <t>[-0.372, -0.268]</t>
        </is>
      </c>
      <c r="F307" t="inlineStr">
        <is>
          <t>&lt; .001</t>
        </is>
      </c>
      <c r="G307" t="inlineStr">
        <is>
          <t>✓</t>
        </is>
      </c>
    </row>
    <row r="308">
      <c r="A308" t="inlineStr">
        <is>
          <t>L_PHA3_ROI</t>
        </is>
      </c>
      <c r="B308" t="n">
        <v>-0.256</v>
      </c>
      <c r="C308" t="n">
        <v>1150</v>
      </c>
      <c r="D308" t="inlineStr">
        <is>
          <t>&lt; .001</t>
        </is>
      </c>
      <c r="E308" t="inlineStr">
        <is>
          <t>[-0.309, -0.201]</t>
        </is>
      </c>
      <c r="F308" t="inlineStr">
        <is>
          <t>&lt; .001</t>
        </is>
      </c>
      <c r="G308" t="inlineStr">
        <is>
          <t>✓</t>
        </is>
      </c>
    </row>
    <row r="309">
      <c r="A309" t="inlineStr">
        <is>
          <t>L_STSda_ROI</t>
        </is>
      </c>
      <c r="B309" t="n">
        <v>-0.394</v>
      </c>
      <c r="C309" t="n">
        <v>1150</v>
      </c>
      <c r="D309" t="inlineStr">
        <is>
          <t>&lt; .001</t>
        </is>
      </c>
      <c r="E309" t="inlineStr">
        <is>
          <t>[-0.442, -0.344]</t>
        </is>
      </c>
      <c r="F309" t="inlineStr">
        <is>
          <t>&lt; .001</t>
        </is>
      </c>
      <c r="G309" t="inlineStr">
        <is>
          <t>✓</t>
        </is>
      </c>
    </row>
    <row r="310">
      <c r="A310" t="inlineStr">
        <is>
          <t>L_STSdp_ROI</t>
        </is>
      </c>
      <c r="B310" t="n">
        <v>-0.397</v>
      </c>
      <c r="C310" t="n">
        <v>1150</v>
      </c>
      <c r="D310" t="inlineStr">
        <is>
          <t>&lt; .001</t>
        </is>
      </c>
      <c r="E310" t="inlineStr">
        <is>
          <t>[-0.445, -0.347]</t>
        </is>
      </c>
      <c r="F310" t="inlineStr">
        <is>
          <t>&lt; .001</t>
        </is>
      </c>
      <c r="G310" t="inlineStr">
        <is>
          <t>✓</t>
        </is>
      </c>
    </row>
    <row r="311">
      <c r="A311" t="inlineStr">
        <is>
          <t>L_STSvp_ROI</t>
        </is>
      </c>
      <c r="B311" t="n">
        <v>-0.365</v>
      </c>
      <c r="C311" t="n">
        <v>1150</v>
      </c>
      <c r="D311" t="inlineStr">
        <is>
          <t>&lt; .001</t>
        </is>
      </c>
      <c r="E311" t="inlineStr">
        <is>
          <t>[-0.414, -0.314]</t>
        </is>
      </c>
      <c r="F311" t="inlineStr">
        <is>
          <t>&lt; .001</t>
        </is>
      </c>
      <c r="G311" t="inlineStr">
        <is>
          <t>✓</t>
        </is>
      </c>
    </row>
    <row r="312">
      <c r="A312" t="inlineStr">
        <is>
          <t>L_TGd_ROI</t>
        </is>
      </c>
      <c r="B312" t="n">
        <v>-0.443</v>
      </c>
      <c r="C312" t="n">
        <v>1150</v>
      </c>
      <c r="D312" t="inlineStr">
        <is>
          <t>&lt; .001</t>
        </is>
      </c>
      <c r="E312" t="inlineStr">
        <is>
          <t>[-0.488, -0.395]</t>
        </is>
      </c>
      <c r="F312" t="inlineStr">
        <is>
          <t>&lt; .001</t>
        </is>
      </c>
      <c r="G312" t="inlineStr">
        <is>
          <t>✓</t>
        </is>
      </c>
    </row>
    <row r="313">
      <c r="A313" t="inlineStr">
        <is>
          <t>L_TE1a_ROI</t>
        </is>
      </c>
      <c r="B313" t="n">
        <v>-0.444</v>
      </c>
      <c r="C313" t="n">
        <v>1150</v>
      </c>
      <c r="D313" t="inlineStr">
        <is>
          <t>&lt; .001</t>
        </is>
      </c>
      <c r="E313" t="inlineStr">
        <is>
          <t>[-0.489, -0.396]</t>
        </is>
      </c>
      <c r="F313" t="inlineStr">
        <is>
          <t>&lt; .001</t>
        </is>
      </c>
      <c r="G313" t="inlineStr">
        <is>
          <t>✓</t>
        </is>
      </c>
    </row>
    <row r="314">
      <c r="A314" t="inlineStr">
        <is>
          <t>L_TE1p_ROI</t>
        </is>
      </c>
      <c r="B314" t="n">
        <v>-0.391</v>
      </c>
      <c r="C314" t="n">
        <v>1150</v>
      </c>
      <c r="D314" t="inlineStr">
        <is>
          <t>&lt; .001</t>
        </is>
      </c>
      <c r="E314" t="inlineStr">
        <is>
          <t>[-0.439, -0.341]</t>
        </is>
      </c>
      <c r="F314" t="inlineStr">
        <is>
          <t>&lt; .001</t>
        </is>
      </c>
      <c r="G314" t="inlineStr">
        <is>
          <t>✓</t>
        </is>
      </c>
    </row>
    <row r="315">
      <c r="A315" t="inlineStr">
        <is>
          <t>L_TE2a_ROI</t>
        </is>
      </c>
      <c r="B315" t="n">
        <v>-0.385</v>
      </c>
      <c r="C315" t="n">
        <v>1150</v>
      </c>
      <c r="D315" t="inlineStr">
        <is>
          <t>&lt; .001</t>
        </is>
      </c>
      <c r="E315" t="inlineStr">
        <is>
          <t>[-0.433, -0.335]</t>
        </is>
      </c>
      <c r="F315" t="inlineStr">
        <is>
          <t>&lt; .001</t>
        </is>
      </c>
      <c r="G315" t="inlineStr">
        <is>
          <t>✓</t>
        </is>
      </c>
    </row>
    <row r="316">
      <c r="A316" t="inlineStr">
        <is>
          <t>L_TF_ROI</t>
        </is>
      </c>
      <c r="B316" t="n">
        <v>-0.355</v>
      </c>
      <c r="C316" t="n">
        <v>1150</v>
      </c>
      <c r="D316" t="inlineStr">
        <is>
          <t>&lt; .001</t>
        </is>
      </c>
      <c r="E316" t="inlineStr">
        <is>
          <t>[-0.404, -0.303]</t>
        </is>
      </c>
      <c r="F316" t="inlineStr">
        <is>
          <t>&lt; .001</t>
        </is>
      </c>
      <c r="G316" t="inlineStr">
        <is>
          <t>✓</t>
        </is>
      </c>
    </row>
    <row r="317">
      <c r="A317" t="inlineStr">
        <is>
          <t>L_TE2p_ROI</t>
        </is>
      </c>
      <c r="B317" t="n">
        <v>-0.329</v>
      </c>
      <c r="C317" t="n">
        <v>1150</v>
      </c>
      <c r="D317" t="inlineStr">
        <is>
          <t>&lt; .001</t>
        </is>
      </c>
      <c r="E317" t="inlineStr">
        <is>
          <t>[-0.379, -0.276]</t>
        </is>
      </c>
      <c r="F317" t="inlineStr">
        <is>
          <t>&lt; .001</t>
        </is>
      </c>
      <c r="G317" t="inlineStr">
        <is>
          <t>✓</t>
        </is>
      </c>
    </row>
    <row r="318">
      <c r="A318" t="inlineStr">
        <is>
          <t>L_PHT_ROI</t>
        </is>
      </c>
      <c r="B318" t="n">
        <v>-0.282</v>
      </c>
      <c r="C318" t="n">
        <v>1150</v>
      </c>
      <c r="D318" t="inlineStr">
        <is>
          <t>&lt; .001</t>
        </is>
      </c>
      <c r="E318" t="inlineStr">
        <is>
          <t>[-0.334, -0.228]</t>
        </is>
      </c>
      <c r="F318" t="inlineStr">
        <is>
          <t>&lt; .001</t>
        </is>
      </c>
      <c r="G318" t="inlineStr">
        <is>
          <t>✓</t>
        </is>
      </c>
    </row>
    <row r="319">
      <c r="A319" t="inlineStr">
        <is>
          <t>L_PH_ROI</t>
        </is>
      </c>
      <c r="B319" t="n">
        <v>-0.329</v>
      </c>
      <c r="C319" t="n">
        <v>1150</v>
      </c>
      <c r="D319" t="inlineStr">
        <is>
          <t>&lt; .001</t>
        </is>
      </c>
      <c r="E319" t="inlineStr">
        <is>
          <t>[-0.379, -0.276]</t>
        </is>
      </c>
      <c r="F319" t="inlineStr">
        <is>
          <t>&lt; .001</t>
        </is>
      </c>
      <c r="G319" t="inlineStr">
        <is>
          <t>✓</t>
        </is>
      </c>
    </row>
    <row r="320">
      <c r="A320" t="inlineStr">
        <is>
          <t>L_TPOJ1_ROI</t>
        </is>
      </c>
      <c r="B320" t="n">
        <v>-0.337</v>
      </c>
      <c r="C320" t="n">
        <v>1150</v>
      </c>
      <c r="D320" t="inlineStr">
        <is>
          <t>&lt; .001</t>
        </is>
      </c>
      <c r="E320" t="inlineStr">
        <is>
          <t>[-0.388, -0.285]</t>
        </is>
      </c>
      <c r="F320" t="inlineStr">
        <is>
          <t>&lt; .001</t>
        </is>
      </c>
      <c r="G320" t="inlineStr">
        <is>
          <t>✓</t>
        </is>
      </c>
    </row>
    <row r="321">
      <c r="A321" t="inlineStr">
        <is>
          <t>L_TPOJ2_ROI</t>
        </is>
      </c>
      <c r="B321" t="n">
        <v>-0.375</v>
      </c>
      <c r="C321" t="n">
        <v>1150</v>
      </c>
      <c r="D321" t="inlineStr">
        <is>
          <t>&lt; .001</t>
        </is>
      </c>
      <c r="E321" t="inlineStr">
        <is>
          <t>[-0.424, -0.324]</t>
        </is>
      </c>
      <c r="F321" t="inlineStr">
        <is>
          <t>&lt; .001</t>
        </is>
      </c>
      <c r="G321" t="inlineStr">
        <is>
          <t>✓</t>
        </is>
      </c>
    </row>
    <row r="322">
      <c r="A322" t="inlineStr">
        <is>
          <t>L_TPOJ3_ROI</t>
        </is>
      </c>
      <c r="B322" t="n">
        <v>-0.368</v>
      </c>
      <c r="C322" t="n">
        <v>1150</v>
      </c>
      <c r="D322" t="inlineStr">
        <is>
          <t>&lt; .001</t>
        </is>
      </c>
      <c r="E322" t="inlineStr">
        <is>
          <t>[-0.417, -0.317]</t>
        </is>
      </c>
      <c r="F322" t="inlineStr">
        <is>
          <t>&lt; .001</t>
        </is>
      </c>
      <c r="G322" t="inlineStr">
        <is>
          <t>✓</t>
        </is>
      </c>
    </row>
    <row r="323">
      <c r="A323" t="inlineStr">
        <is>
          <t>L_DVT_ROI</t>
        </is>
      </c>
      <c r="B323" t="n">
        <v>-0.389</v>
      </c>
      <c r="C323" t="n">
        <v>1150</v>
      </c>
      <c r="D323" t="inlineStr">
        <is>
          <t>&lt; .001</t>
        </is>
      </c>
      <c r="E323" t="inlineStr">
        <is>
          <t>[-0.437, -0.338]</t>
        </is>
      </c>
      <c r="F323" t="inlineStr">
        <is>
          <t>&lt; .001</t>
        </is>
      </c>
      <c r="G323" t="inlineStr">
        <is>
          <t>✓</t>
        </is>
      </c>
    </row>
    <row r="324">
      <c r="A324" t="inlineStr">
        <is>
          <t>L_PGp_ROI</t>
        </is>
      </c>
      <c r="B324" t="n">
        <v>-0.377</v>
      </c>
      <c r="C324" t="n">
        <v>1150</v>
      </c>
      <c r="D324" t="inlineStr">
        <is>
          <t>&lt; .001</t>
        </is>
      </c>
      <c r="E324" t="inlineStr">
        <is>
          <t>[-0.425, -0.326]</t>
        </is>
      </c>
      <c r="F324" t="inlineStr">
        <is>
          <t>&lt; .001</t>
        </is>
      </c>
      <c r="G324" t="inlineStr">
        <is>
          <t>✓</t>
        </is>
      </c>
    </row>
    <row r="325">
      <c r="A325" t="inlineStr">
        <is>
          <t>L_IP2_ROI</t>
        </is>
      </c>
      <c r="B325" t="n">
        <v>-0.399</v>
      </c>
      <c r="C325" t="n">
        <v>1150</v>
      </c>
      <c r="D325" t="inlineStr">
        <is>
          <t>&lt; .001</t>
        </is>
      </c>
      <c r="E325" t="inlineStr">
        <is>
          <t>[-0.446, -0.349]</t>
        </is>
      </c>
      <c r="F325" t="inlineStr">
        <is>
          <t>&lt; .001</t>
        </is>
      </c>
      <c r="G325" t="inlineStr">
        <is>
          <t>✓</t>
        </is>
      </c>
    </row>
    <row r="326">
      <c r="A326" t="inlineStr">
        <is>
          <t>L_IP1_ROI</t>
        </is>
      </c>
      <c r="B326" t="n">
        <v>-0.204</v>
      </c>
      <c r="C326" t="n">
        <v>1150</v>
      </c>
      <c r="D326" t="inlineStr">
        <is>
          <t>&lt; .001</t>
        </is>
      </c>
      <c r="E326" t="inlineStr">
        <is>
          <t>[-0.258, -0.147]</t>
        </is>
      </c>
      <c r="F326" t="inlineStr">
        <is>
          <t>&lt; .001</t>
        </is>
      </c>
      <c r="G326" t="inlineStr">
        <is>
          <t>✓</t>
        </is>
      </c>
    </row>
    <row r="327">
      <c r="A327" t="inlineStr">
        <is>
          <t>L_IP0_ROI</t>
        </is>
      </c>
      <c r="B327" t="n">
        <v>-0.242</v>
      </c>
      <c r="C327" t="n">
        <v>1150</v>
      </c>
      <c r="D327" t="inlineStr">
        <is>
          <t>&lt; .001</t>
        </is>
      </c>
      <c r="E327" t="inlineStr">
        <is>
          <t>[-0.296, -0.187]</t>
        </is>
      </c>
      <c r="F327" t="inlineStr">
        <is>
          <t>&lt; .001</t>
        </is>
      </c>
      <c r="G327" t="inlineStr">
        <is>
          <t>✓</t>
        </is>
      </c>
    </row>
    <row r="328">
      <c r="A328" t="inlineStr">
        <is>
          <t>L_PFop_ROI</t>
        </is>
      </c>
      <c r="B328" t="n">
        <v>-0.303</v>
      </c>
      <c r="C328" t="n">
        <v>1150</v>
      </c>
      <c r="D328" t="inlineStr">
        <is>
          <t>&lt; .001</t>
        </is>
      </c>
      <c r="E328" t="inlineStr">
        <is>
          <t>[-0.355, -0.250]</t>
        </is>
      </c>
      <c r="F328" t="inlineStr">
        <is>
          <t>&lt; .001</t>
        </is>
      </c>
      <c r="G328" t="inlineStr">
        <is>
          <t>✓</t>
        </is>
      </c>
    </row>
    <row r="329">
      <c r="A329" t="inlineStr">
        <is>
          <t>L_PF_ROI</t>
        </is>
      </c>
      <c r="B329" t="n">
        <v>-0.407</v>
      </c>
      <c r="C329" t="n">
        <v>1150</v>
      </c>
      <c r="D329" t="inlineStr">
        <is>
          <t>&lt; .001</t>
        </is>
      </c>
      <c r="E329" t="inlineStr">
        <is>
          <t>[-0.454, -0.358]</t>
        </is>
      </c>
      <c r="F329" t="inlineStr">
        <is>
          <t>&lt; .001</t>
        </is>
      </c>
      <c r="G329" t="inlineStr">
        <is>
          <t>✓</t>
        </is>
      </c>
    </row>
    <row r="330">
      <c r="A330" t="inlineStr">
        <is>
          <t>L_PFm_ROI</t>
        </is>
      </c>
      <c r="B330" t="n">
        <v>-0.415</v>
      </c>
      <c r="C330" t="n">
        <v>1150</v>
      </c>
      <c r="D330" t="inlineStr">
        <is>
          <t>&lt; .001</t>
        </is>
      </c>
      <c r="E330" t="inlineStr">
        <is>
          <t>[-0.462, -0.366]</t>
        </is>
      </c>
      <c r="F330" t="inlineStr">
        <is>
          <t>&lt; .001</t>
        </is>
      </c>
      <c r="G330" t="inlineStr">
        <is>
          <t>✓</t>
        </is>
      </c>
    </row>
    <row r="331">
      <c r="A331" t="inlineStr">
        <is>
          <t>L_PGi_ROI</t>
        </is>
      </c>
      <c r="B331" t="n">
        <v>-0.398</v>
      </c>
      <c r="C331" t="n">
        <v>1150</v>
      </c>
      <c r="D331" t="inlineStr">
        <is>
          <t>&lt; .001</t>
        </is>
      </c>
      <c r="E331" t="inlineStr">
        <is>
          <t>[-0.445, -0.348]</t>
        </is>
      </c>
      <c r="F331" t="inlineStr">
        <is>
          <t>&lt; .001</t>
        </is>
      </c>
      <c r="G331" t="inlineStr">
        <is>
          <t>✓</t>
        </is>
      </c>
    </row>
    <row r="332">
      <c r="A332" t="inlineStr">
        <is>
          <t>L_PGs_ROI</t>
        </is>
      </c>
      <c r="B332" t="n">
        <v>-0.333</v>
      </c>
      <c r="C332" t="n">
        <v>1150</v>
      </c>
      <c r="D332" t="inlineStr">
        <is>
          <t>&lt; .001</t>
        </is>
      </c>
      <c r="E332" t="inlineStr">
        <is>
          <t>[-0.384, -0.281]</t>
        </is>
      </c>
      <c r="F332" t="inlineStr">
        <is>
          <t>&lt; .001</t>
        </is>
      </c>
      <c r="G332" t="inlineStr">
        <is>
          <t>✓</t>
        </is>
      </c>
    </row>
    <row r="333">
      <c r="A333" t="inlineStr">
        <is>
          <t>L_V6A_ROI</t>
        </is>
      </c>
      <c r="B333" t="n">
        <v>-0.322</v>
      </c>
      <c r="C333" t="n">
        <v>1150</v>
      </c>
      <c r="D333" t="inlineStr">
        <is>
          <t>&lt; .001</t>
        </is>
      </c>
      <c r="E333" t="inlineStr">
        <is>
          <t>[-0.373, -0.270]</t>
        </is>
      </c>
      <c r="F333" t="inlineStr">
        <is>
          <t>&lt; .001</t>
        </is>
      </c>
      <c r="G333" t="inlineStr">
        <is>
          <t>✓</t>
        </is>
      </c>
    </row>
    <row r="334">
      <c r="A334" t="inlineStr">
        <is>
          <t>L_VMV1_ROI</t>
        </is>
      </c>
      <c r="B334" t="n">
        <v>-0.362</v>
      </c>
      <c r="C334" t="n">
        <v>1150</v>
      </c>
      <c r="D334" t="inlineStr">
        <is>
          <t>&lt; .001</t>
        </is>
      </c>
      <c r="E334" t="inlineStr">
        <is>
          <t>[-0.411, -0.310]</t>
        </is>
      </c>
      <c r="F334" t="inlineStr">
        <is>
          <t>&lt; .001</t>
        </is>
      </c>
      <c r="G334" t="inlineStr">
        <is>
          <t>✓</t>
        </is>
      </c>
    </row>
    <row r="335">
      <c r="A335" t="inlineStr">
        <is>
          <t>L_VMV3_ROI</t>
        </is>
      </c>
      <c r="B335" t="n">
        <v>-0.319</v>
      </c>
      <c r="C335" t="n">
        <v>1150</v>
      </c>
      <c r="D335" t="inlineStr">
        <is>
          <t>&lt; .001</t>
        </is>
      </c>
      <c r="E335" t="inlineStr">
        <is>
          <t>[-0.370, -0.266]</t>
        </is>
      </c>
      <c r="F335" t="inlineStr">
        <is>
          <t>&lt; .001</t>
        </is>
      </c>
      <c r="G335" t="inlineStr">
        <is>
          <t>✓</t>
        </is>
      </c>
    </row>
    <row r="336">
      <c r="A336" t="inlineStr">
        <is>
          <t>L_PHA2_ROI</t>
        </is>
      </c>
      <c r="B336" t="n">
        <v>-0.43</v>
      </c>
      <c r="C336" t="n">
        <v>1150</v>
      </c>
      <c r="D336" t="inlineStr">
        <is>
          <t>&lt; .001</t>
        </is>
      </c>
      <c r="E336" t="inlineStr">
        <is>
          <t>[-0.476, -0.381]</t>
        </is>
      </c>
      <c r="F336" t="inlineStr">
        <is>
          <t>&lt; .001</t>
        </is>
      </c>
      <c r="G336" t="inlineStr">
        <is>
          <t>✓</t>
        </is>
      </c>
    </row>
    <row r="337">
      <c r="A337" t="inlineStr">
        <is>
          <t>L_V4t_ROI</t>
        </is>
      </c>
      <c r="B337" t="n">
        <v>-0.247</v>
      </c>
      <c r="C337" t="n">
        <v>1150</v>
      </c>
      <c r="D337" t="inlineStr">
        <is>
          <t>&lt; .001</t>
        </is>
      </c>
      <c r="E337" t="inlineStr">
        <is>
          <t>[-0.300, -0.192]</t>
        </is>
      </c>
      <c r="F337" t="inlineStr">
        <is>
          <t>&lt; .001</t>
        </is>
      </c>
      <c r="G337" t="inlineStr">
        <is>
          <t>✓</t>
        </is>
      </c>
    </row>
    <row r="338">
      <c r="A338" t="inlineStr">
        <is>
          <t>L_FST_ROI</t>
        </is>
      </c>
      <c r="B338" t="n">
        <v>-0.308</v>
      </c>
      <c r="C338" t="n">
        <v>1150</v>
      </c>
      <c r="D338" t="inlineStr">
        <is>
          <t>&lt; .001</t>
        </is>
      </c>
      <c r="E338" t="inlineStr">
        <is>
          <t>[-0.359, -0.255]</t>
        </is>
      </c>
      <c r="F338" t="inlineStr">
        <is>
          <t>&lt; .001</t>
        </is>
      </c>
      <c r="G338" t="inlineStr">
        <is>
          <t>✓</t>
        </is>
      </c>
    </row>
    <row r="339">
      <c r="A339" t="inlineStr">
        <is>
          <t>L_V3CD_ROI</t>
        </is>
      </c>
      <c r="B339" t="n">
        <v>-0.337</v>
      </c>
      <c r="C339" t="n">
        <v>1150</v>
      </c>
      <c r="D339" t="inlineStr">
        <is>
          <t>&lt; .001</t>
        </is>
      </c>
      <c r="E339" t="inlineStr">
        <is>
          <t>[-0.387, -0.285]</t>
        </is>
      </c>
      <c r="F339" t="inlineStr">
        <is>
          <t>&lt; .001</t>
        </is>
      </c>
      <c r="G339" t="inlineStr">
        <is>
          <t>✓</t>
        </is>
      </c>
    </row>
    <row r="340">
      <c r="A340" t="inlineStr">
        <is>
          <t>L_LO3_ROI</t>
        </is>
      </c>
      <c r="B340" t="n">
        <v>-0.319</v>
      </c>
      <c r="C340" t="n">
        <v>1150</v>
      </c>
      <c r="D340" t="inlineStr">
        <is>
          <t>&lt; .001</t>
        </is>
      </c>
      <c r="E340" t="inlineStr">
        <is>
          <t>[-0.370, -0.266]</t>
        </is>
      </c>
      <c r="F340" t="inlineStr">
        <is>
          <t>&lt; .001</t>
        </is>
      </c>
      <c r="G340" t="inlineStr">
        <is>
          <t>✓</t>
        </is>
      </c>
    </row>
    <row r="341">
      <c r="A341" t="inlineStr">
        <is>
          <t>L_VMV2_ROI</t>
        </is>
      </c>
      <c r="B341" t="n">
        <v>-0.375</v>
      </c>
      <c r="C341" t="n">
        <v>1150</v>
      </c>
      <c r="D341" t="inlineStr">
        <is>
          <t>&lt; .001</t>
        </is>
      </c>
      <c r="E341" t="inlineStr">
        <is>
          <t>[-0.424, -0.324]</t>
        </is>
      </c>
      <c r="F341" t="inlineStr">
        <is>
          <t>&lt; .001</t>
        </is>
      </c>
      <c r="G341" t="inlineStr">
        <is>
          <t>✓</t>
        </is>
      </c>
    </row>
    <row r="342">
      <c r="A342" t="inlineStr">
        <is>
          <t>L_31pd_ROI</t>
        </is>
      </c>
      <c r="B342" t="n">
        <v>-0.35</v>
      </c>
      <c r="C342" t="n">
        <v>1150</v>
      </c>
      <c r="D342" t="inlineStr">
        <is>
          <t>&lt; .001</t>
        </is>
      </c>
      <c r="E342" t="inlineStr">
        <is>
          <t>[-0.400, -0.298]</t>
        </is>
      </c>
      <c r="F342" t="inlineStr">
        <is>
          <t>&lt; .001</t>
        </is>
      </c>
      <c r="G342" t="inlineStr">
        <is>
          <t>✓</t>
        </is>
      </c>
    </row>
    <row r="343">
      <c r="A343" t="inlineStr">
        <is>
          <t>L_31a_ROI</t>
        </is>
      </c>
      <c r="B343" t="n">
        <v>-0.433</v>
      </c>
      <c r="C343" t="n">
        <v>1150</v>
      </c>
      <c r="D343" t="inlineStr">
        <is>
          <t>&lt; .001</t>
        </is>
      </c>
      <c r="E343" t="inlineStr">
        <is>
          <t>[-0.478, -0.384]</t>
        </is>
      </c>
      <c r="F343" t="inlineStr">
        <is>
          <t>&lt; .001</t>
        </is>
      </c>
      <c r="G343" t="inlineStr">
        <is>
          <t>✓</t>
        </is>
      </c>
    </row>
    <row r="344">
      <c r="A344" t="inlineStr">
        <is>
          <t>L_VVC_ROI</t>
        </is>
      </c>
      <c r="B344" t="n">
        <v>-0.38</v>
      </c>
      <c r="C344" t="n">
        <v>1150</v>
      </c>
      <c r="D344" t="inlineStr">
        <is>
          <t>&lt; .001</t>
        </is>
      </c>
      <c r="E344" t="inlineStr">
        <is>
          <t>[-0.428, -0.330]</t>
        </is>
      </c>
      <c r="F344" t="inlineStr">
        <is>
          <t>&lt; .001</t>
        </is>
      </c>
      <c r="G344" t="inlineStr">
        <is>
          <t>✓</t>
        </is>
      </c>
    </row>
    <row r="345">
      <c r="A345" t="inlineStr">
        <is>
          <t>L_25_ROI</t>
        </is>
      </c>
      <c r="B345" t="n">
        <v>-0.108</v>
      </c>
      <c r="C345" t="n">
        <v>1150</v>
      </c>
      <c r="D345" t="inlineStr">
        <is>
          <t>&lt; .001</t>
        </is>
      </c>
      <c r="E345" t="inlineStr">
        <is>
          <t>[-0.165, -0.051]</t>
        </is>
      </c>
      <c r="F345" t="inlineStr">
        <is>
          <t>&lt; .001</t>
        </is>
      </c>
      <c r="G345" t="inlineStr">
        <is>
          <t>✓</t>
        </is>
      </c>
    </row>
    <row r="346">
      <c r="A346" t="inlineStr">
        <is>
          <t>L_s32_ROI</t>
        </is>
      </c>
      <c r="B346" t="n">
        <v>0.153</v>
      </c>
      <c r="C346" t="n">
        <v>1150</v>
      </c>
      <c r="D346" t="inlineStr">
        <is>
          <t>&lt; .001</t>
        </is>
      </c>
      <c r="E346" t="inlineStr">
        <is>
          <t>[0.096, 0.209]</t>
        </is>
      </c>
      <c r="F346" t="inlineStr">
        <is>
          <t>&lt; .001</t>
        </is>
      </c>
      <c r="G346" t="inlineStr">
        <is>
          <t>✓</t>
        </is>
      </c>
    </row>
    <row r="347">
      <c r="A347" t="inlineStr">
        <is>
          <t>L_pOFC_ROI</t>
        </is>
      </c>
      <c r="B347" t="n">
        <v>-0.204</v>
      </c>
      <c r="C347" t="n">
        <v>1150</v>
      </c>
      <c r="D347" t="inlineStr">
        <is>
          <t>&lt; .001</t>
        </is>
      </c>
      <c r="E347" t="inlineStr">
        <is>
          <t>[-0.258, -0.148]</t>
        </is>
      </c>
      <c r="F347" t="inlineStr">
        <is>
          <t>&lt; .001</t>
        </is>
      </c>
      <c r="G347" t="inlineStr">
        <is>
          <t>✓</t>
        </is>
      </c>
    </row>
    <row r="348">
      <c r="A348" t="inlineStr">
        <is>
          <t>L_PoI1_ROI</t>
        </is>
      </c>
      <c r="B348" t="n">
        <v>-0.196</v>
      </c>
      <c r="C348" t="n">
        <v>1150</v>
      </c>
      <c r="D348" t="inlineStr">
        <is>
          <t>&lt; .001</t>
        </is>
      </c>
      <c r="E348" t="inlineStr">
        <is>
          <t>[-0.251, -0.139]</t>
        </is>
      </c>
      <c r="F348" t="inlineStr">
        <is>
          <t>&lt; .001</t>
        </is>
      </c>
      <c r="G348" t="inlineStr">
        <is>
          <t>✓</t>
        </is>
      </c>
    </row>
    <row r="349">
      <c r="A349" t="inlineStr">
        <is>
          <t>L_Ig_ROI</t>
        </is>
      </c>
      <c r="B349" t="n">
        <v>-0.125</v>
      </c>
      <c r="C349" t="n">
        <v>1150</v>
      </c>
      <c r="D349" t="inlineStr">
        <is>
          <t>&lt; .001</t>
        </is>
      </c>
      <c r="E349" t="inlineStr">
        <is>
          <t>[-0.182, -0.068]</t>
        </is>
      </c>
      <c r="F349" t="inlineStr">
        <is>
          <t>&lt; .001</t>
        </is>
      </c>
      <c r="G349" t="inlineStr">
        <is>
          <t>✓</t>
        </is>
      </c>
    </row>
    <row r="350">
      <c r="A350" t="inlineStr">
        <is>
          <t>L_FOP5_ROI</t>
        </is>
      </c>
      <c r="B350" t="n">
        <v>-0.265</v>
      </c>
      <c r="C350" t="n">
        <v>1150</v>
      </c>
      <c r="D350" t="inlineStr">
        <is>
          <t>&lt; .001</t>
        </is>
      </c>
      <c r="E350" t="inlineStr">
        <is>
          <t>[-0.318, -0.210]</t>
        </is>
      </c>
      <c r="F350" t="inlineStr">
        <is>
          <t>&lt; .001</t>
        </is>
      </c>
      <c r="G350" t="inlineStr">
        <is>
          <t>✓</t>
        </is>
      </c>
    </row>
    <row r="351">
      <c r="A351" t="inlineStr">
        <is>
          <t>L_p10p_ROI</t>
        </is>
      </c>
      <c r="B351" t="n">
        <v>-0.29</v>
      </c>
      <c r="C351" t="n">
        <v>1150</v>
      </c>
      <c r="D351" t="inlineStr">
        <is>
          <t>&lt; .001</t>
        </is>
      </c>
      <c r="E351" t="inlineStr">
        <is>
          <t>[-0.342, -0.237]</t>
        </is>
      </c>
      <c r="F351" t="inlineStr">
        <is>
          <t>&lt; .001</t>
        </is>
      </c>
      <c r="G351" t="inlineStr">
        <is>
          <t>✓</t>
        </is>
      </c>
    </row>
    <row r="352">
      <c r="A352" t="inlineStr">
        <is>
          <t>L_p47r_ROI</t>
        </is>
      </c>
      <c r="B352" t="n">
        <v>-0.336</v>
      </c>
      <c r="C352" t="n">
        <v>1150</v>
      </c>
      <c r="D352" t="inlineStr">
        <is>
          <t>&lt; .001</t>
        </is>
      </c>
      <c r="E352" t="inlineStr">
        <is>
          <t>[-0.386, -0.284]</t>
        </is>
      </c>
      <c r="F352" t="inlineStr">
        <is>
          <t>&lt; .001</t>
        </is>
      </c>
      <c r="G352" t="inlineStr">
        <is>
          <t>✓</t>
        </is>
      </c>
    </row>
    <row r="353">
      <c r="A353" t="inlineStr">
        <is>
          <t>L_TGv_ROI</t>
        </is>
      </c>
      <c r="B353" t="n">
        <v>-0.283</v>
      </c>
      <c r="C353" t="n">
        <v>1150</v>
      </c>
      <c r="D353" t="inlineStr">
        <is>
          <t>&lt; .001</t>
        </is>
      </c>
      <c r="E353" t="inlineStr">
        <is>
          <t>[-0.336, -0.229]</t>
        </is>
      </c>
      <c r="F353" t="inlineStr">
        <is>
          <t>&lt; .001</t>
        </is>
      </c>
      <c r="G353" t="inlineStr">
        <is>
          <t>✓</t>
        </is>
      </c>
    </row>
    <row r="354">
      <c r="A354" t="inlineStr">
        <is>
          <t>L_MBelt_ROI</t>
        </is>
      </c>
      <c r="B354" t="n">
        <v>-0.342</v>
      </c>
      <c r="C354" t="n">
        <v>1150</v>
      </c>
      <c r="D354" t="inlineStr">
        <is>
          <t>&lt; .001</t>
        </is>
      </c>
      <c r="E354" t="inlineStr">
        <is>
          <t>[-0.392, -0.289]</t>
        </is>
      </c>
      <c r="F354" t="inlineStr">
        <is>
          <t>&lt; .001</t>
        </is>
      </c>
      <c r="G354" t="inlineStr">
        <is>
          <t>✓</t>
        </is>
      </c>
    </row>
    <row r="355">
      <c r="A355" t="inlineStr">
        <is>
          <t>L_LBelt_ROI</t>
        </is>
      </c>
      <c r="B355" t="n">
        <v>-0.418</v>
      </c>
      <c r="C355" t="n">
        <v>1150</v>
      </c>
      <c r="D355" t="inlineStr">
        <is>
          <t>&lt; .001</t>
        </is>
      </c>
      <c r="E355" t="inlineStr">
        <is>
          <t>[-0.465, -0.369]</t>
        </is>
      </c>
      <c r="F355" t="inlineStr">
        <is>
          <t>&lt; .001</t>
        </is>
      </c>
      <c r="G355" t="inlineStr">
        <is>
          <t>✓</t>
        </is>
      </c>
    </row>
    <row r="356">
      <c r="A356" t="inlineStr">
        <is>
          <t>L_A4_ROI</t>
        </is>
      </c>
      <c r="B356" t="n">
        <v>-0.438</v>
      </c>
      <c r="C356" t="n">
        <v>1150</v>
      </c>
      <c r="D356" t="inlineStr">
        <is>
          <t>&lt; .001</t>
        </is>
      </c>
      <c r="E356" t="inlineStr">
        <is>
          <t>[-0.484, -0.390]</t>
        </is>
      </c>
      <c r="F356" t="inlineStr">
        <is>
          <t>&lt; .001</t>
        </is>
      </c>
      <c r="G356" t="inlineStr">
        <is>
          <t>✓</t>
        </is>
      </c>
    </row>
    <row r="357">
      <c r="A357" t="inlineStr">
        <is>
          <t>L_STSva_ROI</t>
        </is>
      </c>
      <c r="B357" t="n">
        <v>-0.326</v>
      </c>
      <c r="C357" t="n">
        <v>1150</v>
      </c>
      <c r="D357" t="inlineStr">
        <is>
          <t>&lt; .001</t>
        </is>
      </c>
      <c r="E357" t="inlineStr">
        <is>
          <t>[-0.377, -0.273]</t>
        </is>
      </c>
      <c r="F357" t="inlineStr">
        <is>
          <t>&lt; .001</t>
        </is>
      </c>
      <c r="G357" t="inlineStr">
        <is>
          <t>✓</t>
        </is>
      </c>
    </row>
    <row r="358">
      <c r="A358" t="inlineStr">
        <is>
          <t>L_TE1m_ROI</t>
        </is>
      </c>
      <c r="B358" t="n">
        <v>-0.353</v>
      </c>
      <c r="C358" t="n">
        <v>1150</v>
      </c>
      <c r="D358" t="inlineStr">
        <is>
          <t>&lt; .001</t>
        </is>
      </c>
      <c r="E358" t="inlineStr">
        <is>
          <t>[-0.402, -0.301]</t>
        </is>
      </c>
      <c r="F358" t="inlineStr">
        <is>
          <t>&lt; .001</t>
        </is>
      </c>
      <c r="G358" t="inlineStr">
        <is>
          <t>✓</t>
        </is>
      </c>
    </row>
    <row r="359">
      <c r="A359" t="inlineStr">
        <is>
          <t>L_PI_ROI</t>
        </is>
      </c>
      <c r="B359" t="n">
        <v>-0.25</v>
      </c>
      <c r="C359" t="n">
        <v>1150</v>
      </c>
      <c r="D359" t="inlineStr">
        <is>
          <t>&lt; .001</t>
        </is>
      </c>
      <c r="E359" t="inlineStr">
        <is>
          <t>[-0.303, -0.195]</t>
        </is>
      </c>
      <c r="F359" t="inlineStr">
        <is>
          <t>&lt; .001</t>
        </is>
      </c>
      <c r="G359" t="inlineStr">
        <is>
          <t>✓</t>
        </is>
      </c>
    </row>
    <row r="360">
      <c r="A360" t="inlineStr">
        <is>
          <t>L_a32pr_ROI</t>
        </is>
      </c>
      <c r="B360" t="n">
        <v>-0.408</v>
      </c>
      <c r="C360" t="n">
        <v>1150</v>
      </c>
      <c r="D360" t="inlineStr">
        <is>
          <t>&lt; .001</t>
        </is>
      </c>
      <c r="E360" t="inlineStr">
        <is>
          <t>[-0.455, -0.359]</t>
        </is>
      </c>
      <c r="F360" t="inlineStr">
        <is>
          <t>&lt; .001</t>
        </is>
      </c>
      <c r="G360" t="inlineStr">
        <is>
          <t>✓</t>
        </is>
      </c>
    </row>
    <row r="361">
      <c r="A361" t="inlineStr">
        <is>
          <t>L_p24_ROI</t>
        </is>
      </c>
      <c r="B361" t="n">
        <v>-0.196</v>
      </c>
      <c r="C361" t="n">
        <v>1150</v>
      </c>
      <c r="D361" t="inlineStr">
        <is>
          <t>&lt; .001</t>
        </is>
      </c>
      <c r="E361" t="inlineStr">
        <is>
          <t>[-0.251, -0.140]</t>
        </is>
      </c>
      <c r="F361" t="inlineStr">
        <is>
          <t>&lt; .001</t>
        </is>
      </c>
      <c r="G361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r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95% CI [r]</t>
        </is>
      </c>
      <c r="F1" s="1" t="inlineStr">
        <is>
          <t>p_FDR</t>
        </is>
      </c>
      <c r="G1" s="1" t="inlineStr">
        <is>
          <t>FDR sig.</t>
        </is>
      </c>
    </row>
    <row r="2">
      <c r="A2" t="inlineStr">
        <is>
          <t>R_V1_ROI</t>
        </is>
      </c>
      <c r="B2" t="n">
        <v>-0.439</v>
      </c>
      <c r="C2" t="n">
        <v>1150</v>
      </c>
      <c r="D2" t="inlineStr">
        <is>
          <t>&lt; .001</t>
        </is>
      </c>
      <c r="E2" t="inlineStr">
        <is>
          <t>[-0.484, -0.391]</t>
        </is>
      </c>
      <c r="F2" t="inlineStr">
        <is>
          <t>&lt; .001</t>
        </is>
      </c>
      <c r="G2" t="inlineStr">
        <is>
          <t>✓</t>
        </is>
      </c>
    </row>
    <row r="3">
      <c r="A3" t="inlineStr">
        <is>
          <t>R_MST_ROI</t>
        </is>
      </c>
      <c r="B3" t="n">
        <v>-0.306</v>
      </c>
      <c r="C3" t="n">
        <v>1150</v>
      </c>
      <c r="D3" t="inlineStr">
        <is>
          <t>&lt; .001</t>
        </is>
      </c>
      <c r="E3" t="inlineStr">
        <is>
          <t>[-0.358, -0.253]</t>
        </is>
      </c>
      <c r="F3" t="inlineStr">
        <is>
          <t>&lt; .001</t>
        </is>
      </c>
      <c r="G3" t="inlineStr">
        <is>
          <t>✓</t>
        </is>
      </c>
    </row>
    <row r="4">
      <c r="A4" t="inlineStr">
        <is>
          <t>R_V6_ROI</t>
        </is>
      </c>
      <c r="B4" t="n">
        <v>-0.382</v>
      </c>
      <c r="C4" t="n">
        <v>1150</v>
      </c>
      <c r="D4" t="inlineStr">
        <is>
          <t>&lt; .001</t>
        </is>
      </c>
      <c r="E4" t="inlineStr">
        <is>
          <t>[-0.431, -0.332]</t>
        </is>
      </c>
      <c r="F4" t="inlineStr">
        <is>
          <t>&lt; .001</t>
        </is>
      </c>
      <c r="G4" t="inlineStr">
        <is>
          <t>✓</t>
        </is>
      </c>
    </row>
    <row r="5">
      <c r="A5" t="inlineStr">
        <is>
          <t>R_V2_ROI</t>
        </is>
      </c>
      <c r="B5" t="n">
        <v>-0.393</v>
      </c>
      <c r="C5" t="n">
        <v>1150</v>
      </c>
      <c r="D5" t="inlineStr">
        <is>
          <t>&lt; .001</t>
        </is>
      </c>
      <c r="E5" t="inlineStr">
        <is>
          <t>[-0.441, -0.343]</t>
        </is>
      </c>
      <c r="F5" t="inlineStr">
        <is>
          <t>&lt; .001</t>
        </is>
      </c>
      <c r="G5" t="inlineStr">
        <is>
          <t>✓</t>
        </is>
      </c>
    </row>
    <row r="6">
      <c r="A6" t="inlineStr">
        <is>
          <t>R_V3_ROI</t>
        </is>
      </c>
      <c r="B6" t="n">
        <v>-0.341</v>
      </c>
      <c r="C6" t="n">
        <v>1150</v>
      </c>
      <c r="D6" t="inlineStr">
        <is>
          <t>&lt; .001</t>
        </is>
      </c>
      <c r="E6" t="inlineStr">
        <is>
          <t>[-0.391, -0.289]</t>
        </is>
      </c>
      <c r="F6" t="inlineStr">
        <is>
          <t>&lt; .001</t>
        </is>
      </c>
      <c r="G6" t="inlineStr">
        <is>
          <t>✓</t>
        </is>
      </c>
    </row>
    <row r="7">
      <c r="A7" t="inlineStr">
        <is>
          <t>R_V4_ROI</t>
        </is>
      </c>
      <c r="B7" t="n">
        <v>-0.401</v>
      </c>
      <c r="C7" t="n">
        <v>1150</v>
      </c>
      <c r="D7" t="inlineStr">
        <is>
          <t>&lt; .001</t>
        </is>
      </c>
      <c r="E7" t="inlineStr">
        <is>
          <t>[-0.448, -0.351]</t>
        </is>
      </c>
      <c r="F7" t="inlineStr">
        <is>
          <t>&lt; .001</t>
        </is>
      </c>
      <c r="G7" t="inlineStr">
        <is>
          <t>✓</t>
        </is>
      </c>
    </row>
    <row r="8">
      <c r="A8" t="inlineStr">
        <is>
          <t>R_V8_ROI</t>
        </is>
      </c>
      <c r="B8" t="n">
        <v>-0.254</v>
      </c>
      <c r="C8" t="n">
        <v>1150</v>
      </c>
      <c r="D8" t="inlineStr">
        <is>
          <t>&lt; .001</t>
        </is>
      </c>
      <c r="E8" t="inlineStr">
        <is>
          <t>[-0.307, -0.199]</t>
        </is>
      </c>
      <c r="F8" t="inlineStr">
        <is>
          <t>&lt; .001</t>
        </is>
      </c>
      <c r="G8" t="inlineStr">
        <is>
          <t>✓</t>
        </is>
      </c>
    </row>
    <row r="9">
      <c r="A9" t="inlineStr">
        <is>
          <t>R_4_ROI</t>
        </is>
      </c>
      <c r="B9" t="n">
        <v>-0.496</v>
      </c>
      <c r="C9" t="n">
        <v>1150</v>
      </c>
      <c r="D9" t="inlineStr">
        <is>
          <t>&lt; .001</t>
        </is>
      </c>
      <c r="E9" t="inlineStr">
        <is>
          <t>[-0.538, -0.451]</t>
        </is>
      </c>
      <c r="F9" t="inlineStr">
        <is>
          <t>&lt; .001</t>
        </is>
      </c>
      <c r="G9" t="inlineStr">
        <is>
          <t>✓</t>
        </is>
      </c>
    </row>
    <row r="10">
      <c r="A10" t="inlineStr">
        <is>
          <t>R_3b_ROI</t>
        </is>
      </c>
      <c r="B10" t="n">
        <v>-0.362</v>
      </c>
      <c r="C10" t="n">
        <v>1150</v>
      </c>
      <c r="D10" t="inlineStr">
        <is>
          <t>&lt; .001</t>
        </is>
      </c>
      <c r="E10" t="inlineStr">
        <is>
          <t>[-0.411, -0.311]</t>
        </is>
      </c>
      <c r="F10" t="inlineStr">
        <is>
          <t>&lt; .001</t>
        </is>
      </c>
      <c r="G10" t="inlineStr">
        <is>
          <t>✓</t>
        </is>
      </c>
    </row>
    <row r="11">
      <c r="A11" t="inlineStr">
        <is>
          <t>R_FEF_ROI</t>
        </is>
      </c>
      <c r="B11" t="n">
        <v>-0.36</v>
      </c>
      <c r="C11" t="n">
        <v>1150</v>
      </c>
      <c r="D11" t="inlineStr">
        <is>
          <t>&lt; .001</t>
        </is>
      </c>
      <c r="E11" t="inlineStr">
        <is>
          <t>[-0.410, -0.309]</t>
        </is>
      </c>
      <c r="F11" t="inlineStr">
        <is>
          <t>&lt; .001</t>
        </is>
      </c>
      <c r="G11" t="inlineStr">
        <is>
          <t>✓</t>
        </is>
      </c>
    </row>
    <row r="12">
      <c r="A12" t="inlineStr">
        <is>
          <t>R_PEF_ROI</t>
        </is>
      </c>
      <c r="B12" t="n">
        <v>-0.253</v>
      </c>
      <c r="C12" t="n">
        <v>1150</v>
      </c>
      <c r="D12" t="inlineStr">
        <is>
          <t>&lt; .001</t>
        </is>
      </c>
      <c r="E12" t="inlineStr">
        <is>
          <t>[-0.306, -0.198]</t>
        </is>
      </c>
      <c r="F12" t="inlineStr">
        <is>
          <t>&lt; .001</t>
        </is>
      </c>
      <c r="G12" t="inlineStr">
        <is>
          <t>✓</t>
        </is>
      </c>
    </row>
    <row r="13">
      <c r="A13" t="inlineStr">
        <is>
          <t>R_55b_ROI</t>
        </is>
      </c>
      <c r="B13" t="n">
        <v>-0.339</v>
      </c>
      <c r="C13" t="n">
        <v>1150</v>
      </c>
      <c r="D13" t="inlineStr">
        <is>
          <t>&lt; .001</t>
        </is>
      </c>
      <c r="E13" t="inlineStr">
        <is>
          <t>[-0.389, -0.287]</t>
        </is>
      </c>
      <c r="F13" t="inlineStr">
        <is>
          <t>&lt; .001</t>
        </is>
      </c>
      <c r="G13" t="inlineStr">
        <is>
          <t>✓</t>
        </is>
      </c>
    </row>
    <row r="14">
      <c r="A14" t="inlineStr">
        <is>
          <t>R_V3A_ROI</t>
        </is>
      </c>
      <c r="B14" t="n">
        <v>-0.361</v>
      </c>
      <c r="C14" t="n">
        <v>1150</v>
      </c>
      <c r="D14" t="inlineStr">
        <is>
          <t>&lt; .001</t>
        </is>
      </c>
      <c r="E14" t="inlineStr">
        <is>
          <t>[-0.410, -0.309]</t>
        </is>
      </c>
      <c r="F14" t="inlineStr">
        <is>
          <t>&lt; .001</t>
        </is>
      </c>
      <c r="G14" t="inlineStr">
        <is>
          <t>✓</t>
        </is>
      </c>
    </row>
    <row r="15">
      <c r="A15" t="inlineStr">
        <is>
          <t>R_RSC_ROI</t>
        </is>
      </c>
      <c r="B15" t="n">
        <v>-0.493</v>
      </c>
      <c r="C15" t="n">
        <v>1150</v>
      </c>
      <c r="D15" t="inlineStr">
        <is>
          <t>&lt; .001</t>
        </is>
      </c>
      <c r="E15" t="inlineStr">
        <is>
          <t>[-0.535, -0.448]</t>
        </is>
      </c>
      <c r="F15" t="inlineStr">
        <is>
          <t>&lt; .001</t>
        </is>
      </c>
      <c r="G15" t="inlineStr">
        <is>
          <t>✓</t>
        </is>
      </c>
    </row>
    <row r="16">
      <c r="A16" t="inlineStr">
        <is>
          <t>R_POS2_ROI</t>
        </is>
      </c>
      <c r="B16" t="n">
        <v>-0.317</v>
      </c>
      <c r="C16" t="n">
        <v>1150</v>
      </c>
      <c r="D16" t="inlineStr">
        <is>
          <t>&lt; .001</t>
        </is>
      </c>
      <c r="E16" t="inlineStr">
        <is>
          <t>[-0.368, -0.264]</t>
        </is>
      </c>
      <c r="F16" t="inlineStr">
        <is>
          <t>&lt; .001</t>
        </is>
      </c>
      <c r="G16" t="inlineStr">
        <is>
          <t>✓</t>
        </is>
      </c>
    </row>
    <row r="17">
      <c r="A17" t="inlineStr">
        <is>
          <t>R_V7_ROI</t>
        </is>
      </c>
      <c r="B17" t="n">
        <v>-0.214</v>
      </c>
      <c r="C17" t="n">
        <v>1150</v>
      </c>
      <c r="D17" t="inlineStr">
        <is>
          <t>&lt; .001</t>
        </is>
      </c>
      <c r="E17" t="inlineStr">
        <is>
          <t>[-0.268, -0.158]</t>
        </is>
      </c>
      <c r="F17" t="inlineStr">
        <is>
          <t>&lt; .001</t>
        </is>
      </c>
      <c r="G17" t="inlineStr">
        <is>
          <t>✓</t>
        </is>
      </c>
    </row>
    <row r="18">
      <c r="A18" t="inlineStr">
        <is>
          <t>R_IPS1_ROI</t>
        </is>
      </c>
      <c r="B18" t="n">
        <v>-0.272</v>
      </c>
      <c r="C18" t="n">
        <v>1150</v>
      </c>
      <c r="D18" t="inlineStr">
        <is>
          <t>&lt; .001</t>
        </is>
      </c>
      <c r="E18" t="inlineStr">
        <is>
          <t>[-0.324, -0.217]</t>
        </is>
      </c>
      <c r="F18" t="inlineStr">
        <is>
          <t>&lt; .001</t>
        </is>
      </c>
      <c r="G18" t="inlineStr">
        <is>
          <t>✓</t>
        </is>
      </c>
    </row>
    <row r="19">
      <c r="A19" t="inlineStr">
        <is>
          <t>R_FFC_ROI</t>
        </is>
      </c>
      <c r="B19" t="n">
        <v>-0.354</v>
      </c>
      <c r="C19" t="n">
        <v>1150</v>
      </c>
      <c r="D19" t="inlineStr">
        <is>
          <t>&lt; .001</t>
        </is>
      </c>
      <c r="E19" t="inlineStr">
        <is>
          <t>[-0.403, -0.302]</t>
        </is>
      </c>
      <c r="F19" t="inlineStr">
        <is>
          <t>&lt; .001</t>
        </is>
      </c>
      <c r="G19" t="inlineStr">
        <is>
          <t>✓</t>
        </is>
      </c>
    </row>
    <row r="20">
      <c r="A20" t="inlineStr">
        <is>
          <t>R_V3B_ROI</t>
        </is>
      </c>
      <c r="B20" t="n">
        <v>-0.272</v>
      </c>
      <c r="C20" t="n">
        <v>1150</v>
      </c>
      <c r="D20" t="inlineStr">
        <is>
          <t>&lt; .001</t>
        </is>
      </c>
      <c r="E20" t="inlineStr">
        <is>
          <t>[-0.325, -0.218]</t>
        </is>
      </c>
      <c r="F20" t="inlineStr">
        <is>
          <t>&lt; .001</t>
        </is>
      </c>
      <c r="G20" t="inlineStr">
        <is>
          <t>✓</t>
        </is>
      </c>
    </row>
    <row r="21">
      <c r="A21" t="inlineStr">
        <is>
          <t>R_LO1_ROI</t>
        </is>
      </c>
      <c r="B21" t="n">
        <v>-0.311</v>
      </c>
      <c r="C21" t="n">
        <v>1150</v>
      </c>
      <c r="D21" t="inlineStr">
        <is>
          <t>&lt; .001</t>
        </is>
      </c>
      <c r="E21" t="inlineStr">
        <is>
          <t>[-0.362, -0.258]</t>
        </is>
      </c>
      <c r="F21" t="inlineStr">
        <is>
          <t>&lt; .001</t>
        </is>
      </c>
      <c r="G21" t="inlineStr">
        <is>
          <t>✓</t>
        </is>
      </c>
    </row>
    <row r="22">
      <c r="A22" t="inlineStr">
        <is>
          <t>R_LO2_ROI</t>
        </is>
      </c>
      <c r="B22" t="n">
        <v>-0.215</v>
      </c>
      <c r="C22" t="n">
        <v>1150</v>
      </c>
      <c r="D22" t="inlineStr">
        <is>
          <t>&lt; .001</t>
        </is>
      </c>
      <c r="E22" t="inlineStr">
        <is>
          <t>[-0.269, -0.159]</t>
        </is>
      </c>
      <c r="F22" t="inlineStr">
        <is>
          <t>&lt; .001</t>
        </is>
      </c>
      <c r="G22" t="inlineStr">
        <is>
          <t>✓</t>
        </is>
      </c>
    </row>
    <row r="23">
      <c r="A23" t="inlineStr">
        <is>
          <t>R_PIT_ROI</t>
        </is>
      </c>
      <c r="B23" t="n">
        <v>-0.25</v>
      </c>
      <c r="C23" t="n">
        <v>1150</v>
      </c>
      <c r="D23" t="inlineStr">
        <is>
          <t>&lt; .001</t>
        </is>
      </c>
      <c r="E23" t="inlineStr">
        <is>
          <t>[-0.304, -0.195]</t>
        </is>
      </c>
      <c r="F23" t="inlineStr">
        <is>
          <t>&lt; .001</t>
        </is>
      </c>
      <c r="G23" t="inlineStr">
        <is>
          <t>✓</t>
        </is>
      </c>
    </row>
    <row r="24">
      <c r="A24" t="inlineStr">
        <is>
          <t>R_MT_ROI</t>
        </is>
      </c>
      <c r="B24" t="n">
        <v>-0.26</v>
      </c>
      <c r="C24" t="n">
        <v>1150</v>
      </c>
      <c r="D24" t="inlineStr">
        <is>
          <t>&lt; .001</t>
        </is>
      </c>
      <c r="E24" t="inlineStr">
        <is>
          <t>[-0.313, -0.205]</t>
        </is>
      </c>
      <c r="F24" t="inlineStr">
        <is>
          <t>&lt; .001</t>
        </is>
      </c>
      <c r="G24" t="inlineStr">
        <is>
          <t>✓</t>
        </is>
      </c>
    </row>
    <row r="25">
      <c r="A25" t="inlineStr">
        <is>
          <t>R_A1_ROI</t>
        </is>
      </c>
      <c r="B25" t="n">
        <v>-0.274</v>
      </c>
      <c r="C25" t="n">
        <v>1150</v>
      </c>
      <c r="D25" t="inlineStr">
        <is>
          <t>&lt; .001</t>
        </is>
      </c>
      <c r="E25" t="inlineStr">
        <is>
          <t>[-0.326, -0.220]</t>
        </is>
      </c>
      <c r="F25" t="inlineStr">
        <is>
          <t>&lt; .001</t>
        </is>
      </c>
      <c r="G25" t="inlineStr">
        <is>
          <t>✓</t>
        </is>
      </c>
    </row>
    <row r="26">
      <c r="A26" t="inlineStr">
        <is>
          <t>R_PSL_ROI</t>
        </is>
      </c>
      <c r="B26" t="n">
        <v>-0.307</v>
      </c>
      <c r="C26" t="n">
        <v>1150</v>
      </c>
      <c r="D26" t="inlineStr">
        <is>
          <t>&lt; .001</t>
        </is>
      </c>
      <c r="E26" t="inlineStr">
        <is>
          <t>[-0.358, -0.254]</t>
        </is>
      </c>
      <c r="F26" t="inlineStr">
        <is>
          <t>&lt; .001</t>
        </is>
      </c>
      <c r="G26" t="inlineStr">
        <is>
          <t>✓</t>
        </is>
      </c>
    </row>
    <row r="27">
      <c r="A27" t="inlineStr">
        <is>
          <t>R_SFL_ROI</t>
        </is>
      </c>
      <c r="B27" t="n">
        <v>-0.341</v>
      </c>
      <c r="C27" t="n">
        <v>1150</v>
      </c>
      <c r="D27" t="inlineStr">
        <is>
          <t>&lt; .001</t>
        </is>
      </c>
      <c r="E27" t="inlineStr">
        <is>
          <t>[-0.391, -0.289]</t>
        </is>
      </c>
      <c r="F27" t="inlineStr">
        <is>
          <t>&lt; .001</t>
        </is>
      </c>
      <c r="G27" t="inlineStr">
        <is>
          <t>✓</t>
        </is>
      </c>
    </row>
    <row r="28">
      <c r="A28" t="inlineStr">
        <is>
          <t>R_PCV_ROI</t>
        </is>
      </c>
      <c r="B28" t="n">
        <v>-0.353</v>
      </c>
      <c r="C28" t="n">
        <v>1150</v>
      </c>
      <c r="D28" t="inlineStr">
        <is>
          <t>&lt; .001</t>
        </is>
      </c>
      <c r="E28" t="inlineStr">
        <is>
          <t>[-0.403, -0.302]</t>
        </is>
      </c>
      <c r="F28" t="inlineStr">
        <is>
          <t>&lt; .001</t>
        </is>
      </c>
      <c r="G28" t="inlineStr">
        <is>
          <t>✓</t>
        </is>
      </c>
    </row>
    <row r="29">
      <c r="A29" t="inlineStr">
        <is>
          <t>R_STV_ROI</t>
        </is>
      </c>
      <c r="B29" t="n">
        <v>-0.355</v>
      </c>
      <c r="C29" t="n">
        <v>1150</v>
      </c>
      <c r="D29" t="inlineStr">
        <is>
          <t>&lt; .001</t>
        </is>
      </c>
      <c r="E29" t="inlineStr">
        <is>
          <t>[-0.405, -0.303]</t>
        </is>
      </c>
      <c r="F29" t="inlineStr">
        <is>
          <t>&lt; .001</t>
        </is>
      </c>
      <c r="G29" t="inlineStr">
        <is>
          <t>✓</t>
        </is>
      </c>
    </row>
    <row r="30">
      <c r="A30" t="inlineStr">
        <is>
          <t>R_7Pm_ROI</t>
        </is>
      </c>
      <c r="B30" t="n">
        <v>-0.249</v>
      </c>
      <c r="C30" t="n">
        <v>1150</v>
      </c>
      <c r="D30" t="inlineStr">
        <is>
          <t>&lt; .001</t>
        </is>
      </c>
      <c r="E30" t="inlineStr">
        <is>
          <t>[-0.303, -0.194]</t>
        </is>
      </c>
      <c r="F30" t="inlineStr">
        <is>
          <t>&lt; .001</t>
        </is>
      </c>
      <c r="G30" t="inlineStr">
        <is>
          <t>✓</t>
        </is>
      </c>
    </row>
    <row r="31">
      <c r="A31" t="inlineStr">
        <is>
          <t>R_7m_ROI</t>
        </is>
      </c>
      <c r="B31" t="n">
        <v>-0.324</v>
      </c>
      <c r="C31" t="n">
        <v>1150</v>
      </c>
      <c r="D31" t="inlineStr">
        <is>
          <t>&lt; .001</t>
        </is>
      </c>
      <c r="E31" t="inlineStr">
        <is>
          <t>[-0.375, -0.271]</t>
        </is>
      </c>
      <c r="F31" t="inlineStr">
        <is>
          <t>&lt; .001</t>
        </is>
      </c>
      <c r="G31" t="inlineStr">
        <is>
          <t>✓</t>
        </is>
      </c>
    </row>
    <row r="32">
      <c r="A32" t="inlineStr">
        <is>
          <t>R_POS1_ROI</t>
        </is>
      </c>
      <c r="B32" t="n">
        <v>-0.377</v>
      </c>
      <c r="C32" t="n">
        <v>1150</v>
      </c>
      <c r="D32" t="inlineStr">
        <is>
          <t>&lt; .001</t>
        </is>
      </c>
      <c r="E32" t="inlineStr">
        <is>
          <t>[-0.425, -0.326]</t>
        </is>
      </c>
      <c r="F32" t="inlineStr">
        <is>
          <t>&lt; .001</t>
        </is>
      </c>
      <c r="G32" t="inlineStr">
        <is>
          <t>✓</t>
        </is>
      </c>
    </row>
    <row r="33">
      <c r="A33" t="inlineStr">
        <is>
          <t>R_23d_ROI</t>
        </is>
      </c>
      <c r="B33" t="n">
        <v>-0.406</v>
      </c>
      <c r="C33" t="n">
        <v>1150</v>
      </c>
      <c r="D33" t="inlineStr">
        <is>
          <t>&lt; .001</t>
        </is>
      </c>
      <c r="E33" t="inlineStr">
        <is>
          <t>[-0.454, -0.357]</t>
        </is>
      </c>
      <c r="F33" t="inlineStr">
        <is>
          <t>&lt; .001</t>
        </is>
      </c>
      <c r="G33" t="inlineStr">
        <is>
          <t>✓</t>
        </is>
      </c>
    </row>
    <row r="34">
      <c r="A34" t="inlineStr">
        <is>
          <t>R_v23ab_ROI</t>
        </is>
      </c>
      <c r="B34" t="n">
        <v>-0.281</v>
      </c>
      <c r="C34" t="n">
        <v>1150</v>
      </c>
      <c r="D34" t="inlineStr">
        <is>
          <t>&lt; .001</t>
        </is>
      </c>
      <c r="E34" t="inlineStr">
        <is>
          <t>[-0.333, -0.226]</t>
        </is>
      </c>
      <c r="F34" t="inlineStr">
        <is>
          <t>&lt; .001</t>
        </is>
      </c>
      <c r="G34" t="inlineStr">
        <is>
          <t>✓</t>
        </is>
      </c>
    </row>
    <row r="35">
      <c r="A35" t="inlineStr">
        <is>
          <t>R_d23ab_ROI</t>
        </is>
      </c>
      <c r="B35" t="n">
        <v>-0.402</v>
      </c>
      <c r="C35" t="n">
        <v>1150</v>
      </c>
      <c r="D35" t="inlineStr">
        <is>
          <t>&lt; .001</t>
        </is>
      </c>
      <c r="E35" t="inlineStr">
        <is>
          <t>[-0.450, -0.353]</t>
        </is>
      </c>
      <c r="F35" t="inlineStr">
        <is>
          <t>&lt; .001</t>
        </is>
      </c>
      <c r="G35" t="inlineStr">
        <is>
          <t>✓</t>
        </is>
      </c>
    </row>
    <row r="36">
      <c r="A36" t="inlineStr">
        <is>
          <t>R_31pv_ROI</t>
        </is>
      </c>
      <c r="B36" t="n">
        <v>-0.413</v>
      </c>
      <c r="C36" t="n">
        <v>1150</v>
      </c>
      <c r="D36" t="inlineStr">
        <is>
          <t>&lt; .001</t>
        </is>
      </c>
      <c r="E36" t="inlineStr">
        <is>
          <t>[-0.460, -0.364]</t>
        </is>
      </c>
      <c r="F36" t="inlineStr">
        <is>
          <t>&lt; .001</t>
        </is>
      </c>
      <c r="G36" t="inlineStr">
        <is>
          <t>✓</t>
        </is>
      </c>
    </row>
    <row r="37">
      <c r="A37" t="inlineStr">
        <is>
          <t>R_5m_ROI</t>
        </is>
      </c>
      <c r="B37" t="n">
        <v>-0.348</v>
      </c>
      <c r="C37" t="n">
        <v>1150</v>
      </c>
      <c r="D37" t="inlineStr">
        <is>
          <t>&lt; .001</t>
        </is>
      </c>
      <c r="E37" t="inlineStr">
        <is>
          <t>[-0.398, -0.296]</t>
        </is>
      </c>
      <c r="F37" t="inlineStr">
        <is>
          <t>&lt; .001</t>
        </is>
      </c>
      <c r="G37" t="inlineStr">
        <is>
          <t>✓</t>
        </is>
      </c>
    </row>
    <row r="38">
      <c r="A38" t="inlineStr">
        <is>
          <t>R_5mv_ROI</t>
        </is>
      </c>
      <c r="B38" t="n">
        <v>-0.304</v>
      </c>
      <c r="C38" t="n">
        <v>1150</v>
      </c>
      <c r="D38" t="inlineStr">
        <is>
          <t>&lt; .001</t>
        </is>
      </c>
      <c r="E38" t="inlineStr">
        <is>
          <t>[-0.355, -0.250]</t>
        </is>
      </c>
      <c r="F38" t="inlineStr">
        <is>
          <t>&lt; .001</t>
        </is>
      </c>
      <c r="G38" t="inlineStr">
        <is>
          <t>✓</t>
        </is>
      </c>
    </row>
    <row r="39">
      <c r="A39" t="inlineStr">
        <is>
          <t>R_23c_ROI</t>
        </is>
      </c>
      <c r="B39" t="n">
        <v>-0.458</v>
      </c>
      <c r="C39" t="n">
        <v>1150</v>
      </c>
      <c r="D39" t="inlineStr">
        <is>
          <t>&lt; .001</t>
        </is>
      </c>
      <c r="E39" t="inlineStr">
        <is>
          <t>[-0.503, -0.412]</t>
        </is>
      </c>
      <c r="F39" t="inlineStr">
        <is>
          <t>&lt; .001</t>
        </is>
      </c>
      <c r="G39" t="inlineStr">
        <is>
          <t>✓</t>
        </is>
      </c>
    </row>
    <row r="40">
      <c r="A40" t="inlineStr">
        <is>
          <t>R_5L_ROI</t>
        </is>
      </c>
      <c r="B40" t="n">
        <v>-0.298</v>
      </c>
      <c r="C40" t="n">
        <v>1150</v>
      </c>
      <c r="D40" t="inlineStr">
        <is>
          <t>&lt; .001</t>
        </is>
      </c>
      <c r="E40" t="inlineStr">
        <is>
          <t>[-0.350, -0.245]</t>
        </is>
      </c>
      <c r="F40" t="inlineStr">
        <is>
          <t>&lt; .001</t>
        </is>
      </c>
      <c r="G40" t="inlineStr">
        <is>
          <t>✓</t>
        </is>
      </c>
    </row>
    <row r="41">
      <c r="A41" t="inlineStr">
        <is>
          <t>R_24dd_ROI</t>
        </is>
      </c>
      <c r="B41" t="n">
        <v>-0.346</v>
      </c>
      <c r="C41" t="n">
        <v>1150</v>
      </c>
      <c r="D41" t="inlineStr">
        <is>
          <t>&lt; .001</t>
        </is>
      </c>
      <c r="E41" t="inlineStr">
        <is>
          <t>[-0.396, -0.294]</t>
        </is>
      </c>
      <c r="F41" t="inlineStr">
        <is>
          <t>&lt; .001</t>
        </is>
      </c>
      <c r="G41" t="inlineStr">
        <is>
          <t>✓</t>
        </is>
      </c>
    </row>
    <row r="42">
      <c r="A42" t="inlineStr">
        <is>
          <t>R_24dv_ROI</t>
        </is>
      </c>
      <c r="B42" t="n">
        <v>-0.364</v>
      </c>
      <c r="C42" t="n">
        <v>1150</v>
      </c>
      <c r="D42" t="inlineStr">
        <is>
          <t>&lt; .001</t>
        </is>
      </c>
      <c r="E42" t="inlineStr">
        <is>
          <t>[-0.413, -0.313]</t>
        </is>
      </c>
      <c r="F42" t="inlineStr">
        <is>
          <t>&lt; .001</t>
        </is>
      </c>
      <c r="G42" t="inlineStr">
        <is>
          <t>✓</t>
        </is>
      </c>
    </row>
    <row r="43">
      <c r="A43" t="inlineStr">
        <is>
          <t>R_7AL_ROI</t>
        </is>
      </c>
      <c r="B43" t="n">
        <v>-0.34</v>
      </c>
      <c r="C43" t="n">
        <v>1150</v>
      </c>
      <c r="D43" t="inlineStr">
        <is>
          <t>&lt; .001</t>
        </is>
      </c>
      <c r="E43" t="inlineStr">
        <is>
          <t>[-0.390, -0.288]</t>
        </is>
      </c>
      <c r="F43" t="inlineStr">
        <is>
          <t>&lt; .001</t>
        </is>
      </c>
      <c r="G43" t="inlineStr">
        <is>
          <t>✓</t>
        </is>
      </c>
    </row>
    <row r="44">
      <c r="A44" t="inlineStr">
        <is>
          <t>R_SCEF_ROI</t>
        </is>
      </c>
      <c r="B44" t="n">
        <v>-0.411</v>
      </c>
      <c r="C44" t="n">
        <v>1150</v>
      </c>
      <c r="D44" t="inlineStr">
        <is>
          <t>&lt; .001</t>
        </is>
      </c>
      <c r="E44" t="inlineStr">
        <is>
          <t>[-0.458, -0.362]</t>
        </is>
      </c>
      <c r="F44" t="inlineStr">
        <is>
          <t>&lt; .001</t>
        </is>
      </c>
      <c r="G44" t="inlineStr">
        <is>
          <t>✓</t>
        </is>
      </c>
    </row>
    <row r="45">
      <c r="A45" t="inlineStr">
        <is>
          <t>R_6ma_ROI</t>
        </is>
      </c>
      <c r="B45" t="n">
        <v>-0.431</v>
      </c>
      <c r="C45" t="n">
        <v>1150</v>
      </c>
      <c r="D45" t="inlineStr">
        <is>
          <t>&lt; .001</t>
        </is>
      </c>
      <c r="E45" t="inlineStr">
        <is>
          <t>[-0.477, -0.383]</t>
        </is>
      </c>
      <c r="F45" t="inlineStr">
        <is>
          <t>&lt; .001</t>
        </is>
      </c>
      <c r="G45" t="inlineStr">
        <is>
          <t>✓</t>
        </is>
      </c>
    </row>
    <row r="46">
      <c r="A46" t="inlineStr">
        <is>
          <t>R_7Am_ROI</t>
        </is>
      </c>
      <c r="B46" t="n">
        <v>-0.394</v>
      </c>
      <c r="C46" t="n">
        <v>1150</v>
      </c>
      <c r="D46" t="inlineStr">
        <is>
          <t>&lt; .001</t>
        </is>
      </c>
      <c r="E46" t="inlineStr">
        <is>
          <t>[-0.442, -0.344]</t>
        </is>
      </c>
      <c r="F46" t="inlineStr">
        <is>
          <t>&lt; .001</t>
        </is>
      </c>
      <c r="G46" t="inlineStr">
        <is>
          <t>✓</t>
        </is>
      </c>
    </row>
    <row r="47">
      <c r="A47" t="inlineStr">
        <is>
          <t>R_7PL_ROI</t>
        </is>
      </c>
      <c r="B47" t="n">
        <v>-0.291</v>
      </c>
      <c r="C47" t="n">
        <v>1150</v>
      </c>
      <c r="D47" t="inlineStr">
        <is>
          <t>&lt; .001</t>
        </is>
      </c>
      <c r="E47" t="inlineStr">
        <is>
          <t>[-0.343, -0.237]</t>
        </is>
      </c>
      <c r="F47" t="inlineStr">
        <is>
          <t>&lt; .001</t>
        </is>
      </c>
      <c r="G47" t="inlineStr">
        <is>
          <t>✓</t>
        </is>
      </c>
    </row>
    <row r="48">
      <c r="A48" t="inlineStr">
        <is>
          <t>R_7PC_ROI</t>
        </is>
      </c>
      <c r="B48" t="n">
        <v>-0.298</v>
      </c>
      <c r="C48" t="n">
        <v>1150</v>
      </c>
      <c r="D48" t="inlineStr">
        <is>
          <t>&lt; .001</t>
        </is>
      </c>
      <c r="E48" t="inlineStr">
        <is>
          <t>[-0.349, -0.244]</t>
        </is>
      </c>
      <c r="F48" t="inlineStr">
        <is>
          <t>&lt; .001</t>
        </is>
      </c>
      <c r="G48" t="inlineStr">
        <is>
          <t>✓</t>
        </is>
      </c>
    </row>
    <row r="49">
      <c r="A49" t="inlineStr">
        <is>
          <t>R_LIPv_ROI</t>
        </is>
      </c>
      <c r="B49" t="n">
        <v>-0.309</v>
      </c>
      <c r="C49" t="n">
        <v>1150</v>
      </c>
      <c r="D49" t="inlineStr">
        <is>
          <t>&lt; .001</t>
        </is>
      </c>
      <c r="E49" t="inlineStr">
        <is>
          <t>[-0.360, -0.256]</t>
        </is>
      </c>
      <c r="F49" t="inlineStr">
        <is>
          <t>&lt; .001</t>
        </is>
      </c>
      <c r="G49" t="inlineStr">
        <is>
          <t>✓</t>
        </is>
      </c>
    </row>
    <row r="50">
      <c r="A50" t="inlineStr">
        <is>
          <t>R_VIP_ROI</t>
        </is>
      </c>
      <c r="B50" t="n">
        <v>-0.337</v>
      </c>
      <c r="C50" t="n">
        <v>1150</v>
      </c>
      <c r="D50" t="inlineStr">
        <is>
          <t>&lt; .001</t>
        </is>
      </c>
      <c r="E50" t="inlineStr">
        <is>
          <t>[-0.388, -0.285]</t>
        </is>
      </c>
      <c r="F50" t="inlineStr">
        <is>
          <t>&lt; .001</t>
        </is>
      </c>
      <c r="G50" t="inlineStr">
        <is>
          <t>✓</t>
        </is>
      </c>
    </row>
    <row r="51">
      <c r="A51" t="inlineStr">
        <is>
          <t>R_MIP_ROI</t>
        </is>
      </c>
      <c r="B51" t="n">
        <v>-0.274</v>
      </c>
      <c r="C51" t="n">
        <v>1150</v>
      </c>
      <c r="D51" t="inlineStr">
        <is>
          <t>&lt; .001</t>
        </is>
      </c>
      <c r="E51" t="inlineStr">
        <is>
          <t>[-0.327, -0.220]</t>
        </is>
      </c>
      <c r="F51" t="inlineStr">
        <is>
          <t>&lt; .001</t>
        </is>
      </c>
      <c r="G51" t="inlineStr">
        <is>
          <t>✓</t>
        </is>
      </c>
    </row>
    <row r="52">
      <c r="A52" t="inlineStr">
        <is>
          <t>R_1_ROI</t>
        </is>
      </c>
      <c r="B52" t="n">
        <v>-0.489</v>
      </c>
      <c r="C52" t="n">
        <v>1150</v>
      </c>
      <c r="D52" t="inlineStr">
        <is>
          <t>&lt; .001</t>
        </is>
      </c>
      <c r="E52" t="inlineStr">
        <is>
          <t>[-0.532, -0.444]</t>
        </is>
      </c>
      <c r="F52" t="inlineStr">
        <is>
          <t>&lt; .001</t>
        </is>
      </c>
      <c r="G52" t="inlineStr">
        <is>
          <t>✓</t>
        </is>
      </c>
    </row>
    <row r="53">
      <c r="A53" t="inlineStr">
        <is>
          <t>R_2_ROI</t>
        </is>
      </c>
      <c r="B53" t="n">
        <v>-0.398</v>
      </c>
      <c r="C53" t="n">
        <v>1150</v>
      </c>
      <c r="D53" t="inlineStr">
        <is>
          <t>&lt; .001</t>
        </is>
      </c>
      <c r="E53" t="inlineStr">
        <is>
          <t>[-0.445, -0.348]</t>
        </is>
      </c>
      <c r="F53" t="inlineStr">
        <is>
          <t>&lt; .001</t>
        </is>
      </c>
      <c r="G53" t="inlineStr">
        <is>
          <t>✓</t>
        </is>
      </c>
    </row>
    <row r="54">
      <c r="A54" t="inlineStr">
        <is>
          <t>R_3a_ROI</t>
        </is>
      </c>
      <c r="B54" t="n">
        <v>-0.298</v>
      </c>
      <c r="C54" t="n">
        <v>1150</v>
      </c>
      <c r="D54" t="inlineStr">
        <is>
          <t>&lt; .001</t>
        </is>
      </c>
      <c r="E54" t="inlineStr">
        <is>
          <t>[-0.350, -0.245]</t>
        </is>
      </c>
      <c r="F54" t="inlineStr">
        <is>
          <t>&lt; .001</t>
        </is>
      </c>
      <c r="G54" t="inlineStr">
        <is>
          <t>✓</t>
        </is>
      </c>
    </row>
    <row r="55">
      <c r="A55" t="inlineStr">
        <is>
          <t>R_6d_ROI</t>
        </is>
      </c>
      <c r="B55" t="n">
        <v>-0.303</v>
      </c>
      <c r="C55" t="n">
        <v>1150</v>
      </c>
      <c r="D55" t="inlineStr">
        <is>
          <t>&lt; .001</t>
        </is>
      </c>
      <c r="E55" t="inlineStr">
        <is>
          <t>[-0.354, -0.249]</t>
        </is>
      </c>
      <c r="F55" t="inlineStr">
        <is>
          <t>&lt; .001</t>
        </is>
      </c>
      <c r="G55" t="inlineStr">
        <is>
          <t>✓</t>
        </is>
      </c>
    </row>
    <row r="56">
      <c r="A56" t="inlineStr">
        <is>
          <t>R_6mp_ROI</t>
        </is>
      </c>
      <c r="B56" t="n">
        <v>-0.351</v>
      </c>
      <c r="C56" t="n">
        <v>1150</v>
      </c>
      <c r="D56" t="inlineStr">
        <is>
          <t>&lt; .001</t>
        </is>
      </c>
      <c r="E56" t="inlineStr">
        <is>
          <t>[-0.401, -0.299]</t>
        </is>
      </c>
      <c r="F56" t="inlineStr">
        <is>
          <t>&lt; .001</t>
        </is>
      </c>
      <c r="G56" t="inlineStr">
        <is>
          <t>✓</t>
        </is>
      </c>
    </row>
    <row r="57">
      <c r="A57" t="inlineStr">
        <is>
          <t>R_6v_ROI</t>
        </is>
      </c>
      <c r="B57" t="n">
        <v>-0.299</v>
      </c>
      <c r="C57" t="n">
        <v>1150</v>
      </c>
      <c r="D57" t="inlineStr">
        <is>
          <t>&lt; .001</t>
        </is>
      </c>
      <c r="E57" t="inlineStr">
        <is>
          <t>[-0.351, -0.246]</t>
        </is>
      </c>
      <c r="F57" t="inlineStr">
        <is>
          <t>&lt; .001</t>
        </is>
      </c>
      <c r="G57" t="inlineStr">
        <is>
          <t>✓</t>
        </is>
      </c>
    </row>
    <row r="58">
      <c r="A58" t="inlineStr">
        <is>
          <t>R_p24pr_ROI</t>
        </is>
      </c>
      <c r="B58" t="n">
        <v>-0.301</v>
      </c>
      <c r="C58" t="n">
        <v>1150</v>
      </c>
      <c r="D58" t="inlineStr">
        <is>
          <t>&lt; .001</t>
        </is>
      </c>
      <c r="E58" t="inlineStr">
        <is>
          <t>[-0.353, -0.248]</t>
        </is>
      </c>
      <c r="F58" t="inlineStr">
        <is>
          <t>&lt; .001</t>
        </is>
      </c>
      <c r="G58" t="inlineStr">
        <is>
          <t>✓</t>
        </is>
      </c>
    </row>
    <row r="59">
      <c r="A59" t="inlineStr">
        <is>
          <t>R_33pr_ROI</t>
        </is>
      </c>
      <c r="B59" t="n">
        <v>-0.359</v>
      </c>
      <c r="C59" t="n">
        <v>1150</v>
      </c>
      <c r="D59" t="inlineStr">
        <is>
          <t>&lt; .001</t>
        </is>
      </c>
      <c r="E59" t="inlineStr">
        <is>
          <t>[-0.409, -0.308]</t>
        </is>
      </c>
      <c r="F59" t="inlineStr">
        <is>
          <t>&lt; .001</t>
        </is>
      </c>
      <c r="G59" t="inlineStr">
        <is>
          <t>✓</t>
        </is>
      </c>
    </row>
    <row r="60">
      <c r="A60" t="inlineStr">
        <is>
          <t>R_a24pr_ROI</t>
        </is>
      </c>
      <c r="B60" t="n">
        <v>-0.161</v>
      </c>
      <c r="C60" t="n">
        <v>1150</v>
      </c>
      <c r="D60" t="inlineStr">
        <is>
          <t>&lt; .001</t>
        </is>
      </c>
      <c r="E60" t="inlineStr">
        <is>
          <t>[-0.217, -0.104]</t>
        </is>
      </c>
      <c r="F60" t="inlineStr">
        <is>
          <t>&lt; .001</t>
        </is>
      </c>
      <c r="G60" t="inlineStr">
        <is>
          <t>✓</t>
        </is>
      </c>
    </row>
    <row r="61">
      <c r="A61" t="inlineStr">
        <is>
          <t>R_p32pr_ROI</t>
        </is>
      </c>
      <c r="B61" t="n">
        <v>-0.412</v>
      </c>
      <c r="C61" t="n">
        <v>1150</v>
      </c>
      <c r="D61" t="inlineStr">
        <is>
          <t>&lt; .001</t>
        </is>
      </c>
      <c r="E61" t="inlineStr">
        <is>
          <t>[-0.459, -0.363]</t>
        </is>
      </c>
      <c r="F61" t="inlineStr">
        <is>
          <t>&lt; .001</t>
        </is>
      </c>
      <c r="G61" t="inlineStr">
        <is>
          <t>✓</t>
        </is>
      </c>
    </row>
    <row r="62">
      <c r="A62" t="inlineStr">
        <is>
          <t>R_d32_ROI</t>
        </is>
      </c>
      <c r="B62" t="n">
        <v>-0.383</v>
      </c>
      <c r="C62" t="n">
        <v>1150</v>
      </c>
      <c r="D62" t="inlineStr">
        <is>
          <t>&lt; .001</t>
        </is>
      </c>
      <c r="E62" t="inlineStr">
        <is>
          <t>[-0.431, -0.332]</t>
        </is>
      </c>
      <c r="F62" t="inlineStr">
        <is>
          <t>&lt; .001</t>
        </is>
      </c>
      <c r="G62" t="inlineStr">
        <is>
          <t>✓</t>
        </is>
      </c>
    </row>
    <row r="63">
      <c r="A63" t="inlineStr">
        <is>
          <t>R_8BM_ROI</t>
        </is>
      </c>
      <c r="B63" t="n">
        <v>-0.42</v>
      </c>
      <c r="C63" t="n">
        <v>1150</v>
      </c>
      <c r="D63" t="inlineStr">
        <is>
          <t>&lt; .001</t>
        </is>
      </c>
      <c r="E63" t="inlineStr">
        <is>
          <t>[-0.466, -0.371]</t>
        </is>
      </c>
      <c r="F63" t="inlineStr">
        <is>
          <t>&lt; .001</t>
        </is>
      </c>
      <c r="G63" t="inlineStr">
        <is>
          <t>✓</t>
        </is>
      </c>
    </row>
    <row r="64">
      <c r="A64" t="inlineStr">
        <is>
          <t>R_p32_ROI</t>
        </is>
      </c>
      <c r="B64" t="n">
        <v>-0.15</v>
      </c>
      <c r="C64" t="n">
        <v>1150</v>
      </c>
      <c r="D64" t="inlineStr">
        <is>
          <t>&lt; .001</t>
        </is>
      </c>
      <c r="E64" t="inlineStr">
        <is>
          <t>[-0.206, -0.093]</t>
        </is>
      </c>
      <c r="F64" t="inlineStr">
        <is>
          <t>&lt; .001</t>
        </is>
      </c>
      <c r="G64" t="inlineStr">
        <is>
          <t>✓</t>
        </is>
      </c>
    </row>
    <row r="65">
      <c r="A65" t="inlineStr">
        <is>
          <t>R_10r_ROI</t>
        </is>
      </c>
      <c r="B65" t="n">
        <v>-0.066</v>
      </c>
      <c r="C65" t="n">
        <v>1150</v>
      </c>
      <c r="D65">
        <f> 0.026</f>
        <v/>
      </c>
      <c r="E65" t="inlineStr">
        <is>
          <t>[-0.123, -0.008]</t>
        </is>
      </c>
      <c r="F65">
        <f> 0.026</f>
        <v/>
      </c>
      <c r="G65" t="inlineStr">
        <is>
          <t>✓</t>
        </is>
      </c>
    </row>
    <row r="66">
      <c r="A66" t="inlineStr">
        <is>
          <t>R_47m_ROI</t>
        </is>
      </c>
      <c r="B66" t="n">
        <v>-0.289</v>
      </c>
      <c r="C66" t="n">
        <v>1150</v>
      </c>
      <c r="D66" t="inlineStr">
        <is>
          <t>&lt; .001</t>
        </is>
      </c>
      <c r="E66" t="inlineStr">
        <is>
          <t>[-0.341, -0.235]</t>
        </is>
      </c>
      <c r="F66" t="inlineStr">
        <is>
          <t>&lt; .001</t>
        </is>
      </c>
      <c r="G66" t="inlineStr">
        <is>
          <t>✓</t>
        </is>
      </c>
    </row>
    <row r="67">
      <c r="A67" t="inlineStr">
        <is>
          <t>R_8Av_ROI</t>
        </is>
      </c>
      <c r="B67" t="n">
        <v>-0.3</v>
      </c>
      <c r="C67" t="n">
        <v>1150</v>
      </c>
      <c r="D67" t="inlineStr">
        <is>
          <t>&lt; .001</t>
        </is>
      </c>
      <c r="E67" t="inlineStr">
        <is>
          <t>[-0.351, -0.246]</t>
        </is>
      </c>
      <c r="F67" t="inlineStr">
        <is>
          <t>&lt; .001</t>
        </is>
      </c>
      <c r="G67" t="inlineStr">
        <is>
          <t>✓</t>
        </is>
      </c>
    </row>
    <row r="68">
      <c r="A68" t="inlineStr">
        <is>
          <t>R_8Ad_ROI</t>
        </is>
      </c>
      <c r="B68" t="n">
        <v>-0.38</v>
      </c>
      <c r="C68" t="n">
        <v>1150</v>
      </c>
      <c r="D68" t="inlineStr">
        <is>
          <t>&lt; .001</t>
        </is>
      </c>
      <c r="E68" t="inlineStr">
        <is>
          <t>[-0.429, -0.330]</t>
        </is>
      </c>
      <c r="F68" t="inlineStr">
        <is>
          <t>&lt; .001</t>
        </is>
      </c>
      <c r="G68" t="inlineStr">
        <is>
          <t>✓</t>
        </is>
      </c>
    </row>
    <row r="69">
      <c r="A69" t="inlineStr">
        <is>
          <t>R_9m_ROI</t>
        </is>
      </c>
      <c r="B69" t="n">
        <v>-0.278</v>
      </c>
      <c r="C69" t="n">
        <v>1150</v>
      </c>
      <c r="D69" t="inlineStr">
        <is>
          <t>&lt; .001</t>
        </is>
      </c>
      <c r="E69" t="inlineStr">
        <is>
          <t>[-0.331, -0.224]</t>
        </is>
      </c>
      <c r="F69" t="inlineStr">
        <is>
          <t>&lt; .001</t>
        </is>
      </c>
      <c r="G69" t="inlineStr">
        <is>
          <t>✓</t>
        </is>
      </c>
    </row>
    <row r="70">
      <c r="A70" t="inlineStr">
        <is>
          <t>R_8BL_ROI</t>
        </is>
      </c>
      <c r="B70" t="n">
        <v>-0.35</v>
      </c>
      <c r="C70" t="n">
        <v>1150</v>
      </c>
      <c r="D70" t="inlineStr">
        <is>
          <t>&lt; .001</t>
        </is>
      </c>
      <c r="E70" t="inlineStr">
        <is>
          <t>[-0.399, -0.298]</t>
        </is>
      </c>
      <c r="F70" t="inlineStr">
        <is>
          <t>&lt; .001</t>
        </is>
      </c>
      <c r="G70" t="inlineStr">
        <is>
          <t>✓</t>
        </is>
      </c>
    </row>
    <row r="71">
      <c r="A71" t="inlineStr">
        <is>
          <t>R_9p_ROI</t>
        </is>
      </c>
      <c r="B71" t="n">
        <v>-0.333</v>
      </c>
      <c r="C71" t="n">
        <v>1150</v>
      </c>
      <c r="D71" t="inlineStr">
        <is>
          <t>&lt; .001</t>
        </is>
      </c>
      <c r="E71" t="inlineStr">
        <is>
          <t>[-0.383, -0.281]</t>
        </is>
      </c>
      <c r="F71" t="inlineStr">
        <is>
          <t>&lt; .001</t>
        </is>
      </c>
      <c r="G71" t="inlineStr">
        <is>
          <t>✓</t>
        </is>
      </c>
    </row>
    <row r="72">
      <c r="A72" t="inlineStr">
        <is>
          <t>R_10d_ROI</t>
        </is>
      </c>
      <c r="B72" t="n">
        <v>-0.191</v>
      </c>
      <c r="C72" t="n">
        <v>1150</v>
      </c>
      <c r="D72" t="inlineStr">
        <is>
          <t>&lt; .001</t>
        </is>
      </c>
      <c r="E72" t="inlineStr">
        <is>
          <t>[-0.246, -0.134]</t>
        </is>
      </c>
      <c r="F72" t="inlineStr">
        <is>
          <t>&lt; .001</t>
        </is>
      </c>
      <c r="G72" t="inlineStr">
        <is>
          <t>✓</t>
        </is>
      </c>
    </row>
    <row r="73">
      <c r="A73" t="inlineStr">
        <is>
          <t>R_8C_ROI</t>
        </is>
      </c>
      <c r="B73" t="n">
        <v>-0.355</v>
      </c>
      <c r="C73" t="n">
        <v>1150</v>
      </c>
      <c r="D73" t="inlineStr">
        <is>
          <t>&lt; .001</t>
        </is>
      </c>
      <c r="E73" t="inlineStr">
        <is>
          <t>[-0.405, -0.304]</t>
        </is>
      </c>
      <c r="F73" t="inlineStr">
        <is>
          <t>&lt; .001</t>
        </is>
      </c>
      <c r="G73" t="inlineStr">
        <is>
          <t>✓</t>
        </is>
      </c>
    </row>
    <row r="74">
      <c r="A74" t="inlineStr">
        <is>
          <t>R_44_ROI</t>
        </is>
      </c>
      <c r="B74" t="n">
        <v>-0.277</v>
      </c>
      <c r="C74" t="n">
        <v>1150</v>
      </c>
      <c r="D74" t="inlineStr">
        <is>
          <t>&lt; .001</t>
        </is>
      </c>
      <c r="E74" t="inlineStr">
        <is>
          <t>[-0.330, -0.223]</t>
        </is>
      </c>
      <c r="F74" t="inlineStr">
        <is>
          <t>&lt; .001</t>
        </is>
      </c>
      <c r="G74" t="inlineStr">
        <is>
          <t>✓</t>
        </is>
      </c>
    </row>
    <row r="75">
      <c r="A75" t="inlineStr">
        <is>
          <t>R_45_ROI</t>
        </is>
      </c>
      <c r="B75" t="n">
        <v>-0.404</v>
      </c>
      <c r="C75" t="n">
        <v>1150</v>
      </c>
      <c r="D75" t="inlineStr">
        <is>
          <t>&lt; .001</t>
        </is>
      </c>
      <c r="E75" t="inlineStr">
        <is>
          <t>[-0.451, -0.355]</t>
        </is>
      </c>
      <c r="F75" t="inlineStr">
        <is>
          <t>&lt; .001</t>
        </is>
      </c>
      <c r="G75" t="inlineStr">
        <is>
          <t>✓</t>
        </is>
      </c>
    </row>
    <row r="76">
      <c r="A76" t="inlineStr">
        <is>
          <t>R_47l_ROI</t>
        </is>
      </c>
      <c r="B76" t="n">
        <v>-0.38</v>
      </c>
      <c r="C76" t="n">
        <v>1150</v>
      </c>
      <c r="D76" t="inlineStr">
        <is>
          <t>&lt; .001</t>
        </is>
      </c>
      <c r="E76" t="inlineStr">
        <is>
          <t>[-0.428, -0.329]</t>
        </is>
      </c>
      <c r="F76" t="inlineStr">
        <is>
          <t>&lt; .001</t>
        </is>
      </c>
      <c r="G76" t="inlineStr">
        <is>
          <t>✓</t>
        </is>
      </c>
    </row>
    <row r="77">
      <c r="A77" t="inlineStr">
        <is>
          <t>R_a47r_ROI</t>
        </is>
      </c>
      <c r="B77" t="n">
        <v>-0.355</v>
      </c>
      <c r="C77" t="n">
        <v>1150</v>
      </c>
      <c r="D77" t="inlineStr">
        <is>
          <t>&lt; .001</t>
        </is>
      </c>
      <c r="E77" t="inlineStr">
        <is>
          <t>[-0.405, -0.304]</t>
        </is>
      </c>
      <c r="F77" t="inlineStr">
        <is>
          <t>&lt; .001</t>
        </is>
      </c>
      <c r="G77" t="inlineStr">
        <is>
          <t>✓</t>
        </is>
      </c>
    </row>
    <row r="78">
      <c r="A78" t="inlineStr">
        <is>
          <t>R_6r_ROI</t>
        </is>
      </c>
      <c r="B78" t="n">
        <v>-0.376</v>
      </c>
      <c r="C78" t="n">
        <v>1150</v>
      </c>
      <c r="D78" t="inlineStr">
        <is>
          <t>&lt; .001</t>
        </is>
      </c>
      <c r="E78" t="inlineStr">
        <is>
          <t>[-0.424, -0.325]</t>
        </is>
      </c>
      <c r="F78" t="inlineStr">
        <is>
          <t>&lt; .001</t>
        </is>
      </c>
      <c r="G78" t="inlineStr">
        <is>
          <t>✓</t>
        </is>
      </c>
    </row>
    <row r="79">
      <c r="A79" t="inlineStr">
        <is>
          <t>R_IFJa_ROI</t>
        </is>
      </c>
      <c r="B79" t="n">
        <v>-0.371</v>
      </c>
      <c r="C79" t="n">
        <v>1150</v>
      </c>
      <c r="D79" t="inlineStr">
        <is>
          <t>&lt; .001</t>
        </is>
      </c>
      <c r="E79" t="inlineStr">
        <is>
          <t>[-0.420, -0.320]</t>
        </is>
      </c>
      <c r="F79" t="inlineStr">
        <is>
          <t>&lt; .001</t>
        </is>
      </c>
      <c r="G79" t="inlineStr">
        <is>
          <t>✓</t>
        </is>
      </c>
    </row>
    <row r="80">
      <c r="A80" t="inlineStr">
        <is>
          <t>R_IFJp_ROI</t>
        </is>
      </c>
      <c r="B80" t="n">
        <v>-0.277</v>
      </c>
      <c r="C80" t="n">
        <v>1150</v>
      </c>
      <c r="D80" t="inlineStr">
        <is>
          <t>&lt; .001</t>
        </is>
      </c>
      <c r="E80" t="inlineStr">
        <is>
          <t>[-0.329, -0.222]</t>
        </is>
      </c>
      <c r="F80" t="inlineStr">
        <is>
          <t>&lt; .001</t>
        </is>
      </c>
      <c r="G80" t="inlineStr">
        <is>
          <t>✓</t>
        </is>
      </c>
    </row>
    <row r="81">
      <c r="A81" t="inlineStr">
        <is>
          <t>R_IFSp_ROI</t>
        </is>
      </c>
      <c r="B81" t="n">
        <v>-0.329</v>
      </c>
      <c r="C81" t="n">
        <v>1150</v>
      </c>
      <c r="D81" t="inlineStr">
        <is>
          <t>&lt; .001</t>
        </is>
      </c>
      <c r="E81" t="inlineStr">
        <is>
          <t>[-0.380, -0.276]</t>
        </is>
      </c>
      <c r="F81" t="inlineStr">
        <is>
          <t>&lt; .001</t>
        </is>
      </c>
      <c r="G81" t="inlineStr">
        <is>
          <t>✓</t>
        </is>
      </c>
    </row>
    <row r="82">
      <c r="A82" t="inlineStr">
        <is>
          <t>R_IFSa_ROI</t>
        </is>
      </c>
      <c r="B82" t="n">
        <v>-0.35</v>
      </c>
      <c r="C82" t="n">
        <v>1150</v>
      </c>
      <c r="D82" t="inlineStr">
        <is>
          <t>&lt; .001</t>
        </is>
      </c>
      <c r="E82" t="inlineStr">
        <is>
          <t>[-0.400, -0.298]</t>
        </is>
      </c>
      <c r="F82" t="inlineStr">
        <is>
          <t>&lt; .001</t>
        </is>
      </c>
      <c r="G82" t="inlineStr">
        <is>
          <t>✓</t>
        </is>
      </c>
    </row>
    <row r="83">
      <c r="A83" t="inlineStr">
        <is>
          <t>R_p9_46v_ROI</t>
        </is>
      </c>
      <c r="B83" t="n">
        <v>-0.374</v>
      </c>
      <c r="C83" t="n">
        <v>1150</v>
      </c>
      <c r="D83" t="inlineStr">
        <is>
          <t>&lt; .001</t>
        </is>
      </c>
      <c r="E83" t="inlineStr">
        <is>
          <t>[-0.422, -0.323]</t>
        </is>
      </c>
      <c r="F83" t="inlineStr">
        <is>
          <t>&lt; .001</t>
        </is>
      </c>
      <c r="G83" t="inlineStr">
        <is>
          <t>✓</t>
        </is>
      </c>
    </row>
    <row r="84">
      <c r="A84" t="inlineStr">
        <is>
          <t>R_46_ROI</t>
        </is>
      </c>
      <c r="B84" t="n">
        <v>-0.373</v>
      </c>
      <c r="C84" t="n">
        <v>1150</v>
      </c>
      <c r="D84" t="inlineStr">
        <is>
          <t>&lt; .001</t>
        </is>
      </c>
      <c r="E84" t="inlineStr">
        <is>
          <t>[-0.422, -0.322]</t>
        </is>
      </c>
      <c r="F84" t="inlineStr">
        <is>
          <t>&lt; .001</t>
        </is>
      </c>
      <c r="G84" t="inlineStr">
        <is>
          <t>✓</t>
        </is>
      </c>
    </row>
    <row r="85">
      <c r="A85" t="inlineStr">
        <is>
          <t>R_a9_46v_ROI</t>
        </is>
      </c>
      <c r="B85" t="n">
        <v>-0.34</v>
      </c>
      <c r="C85" t="n">
        <v>1150</v>
      </c>
      <c r="D85" t="inlineStr">
        <is>
          <t>&lt; .001</t>
        </is>
      </c>
      <c r="E85" t="inlineStr">
        <is>
          <t>[-0.391, -0.288]</t>
        </is>
      </c>
      <c r="F85" t="inlineStr">
        <is>
          <t>&lt; .001</t>
        </is>
      </c>
      <c r="G85" t="inlineStr">
        <is>
          <t>✓</t>
        </is>
      </c>
    </row>
    <row r="86">
      <c r="A86" t="inlineStr">
        <is>
          <t>R_9_46d_ROI</t>
        </is>
      </c>
      <c r="B86" t="n">
        <v>-0.362</v>
      </c>
      <c r="C86" t="n">
        <v>1150</v>
      </c>
      <c r="D86" t="inlineStr">
        <is>
          <t>&lt; .001</t>
        </is>
      </c>
      <c r="E86" t="inlineStr">
        <is>
          <t>[-0.411, -0.311]</t>
        </is>
      </c>
      <c r="F86" t="inlineStr">
        <is>
          <t>&lt; .001</t>
        </is>
      </c>
      <c r="G86" t="inlineStr">
        <is>
          <t>✓</t>
        </is>
      </c>
    </row>
    <row r="87">
      <c r="A87" t="inlineStr">
        <is>
          <t>R_9a_ROI</t>
        </is>
      </c>
      <c r="B87" t="n">
        <v>-0.272</v>
      </c>
      <c r="C87" t="n">
        <v>1150</v>
      </c>
      <c r="D87" t="inlineStr">
        <is>
          <t>&lt; .001</t>
        </is>
      </c>
      <c r="E87" t="inlineStr">
        <is>
          <t>[-0.325, -0.218]</t>
        </is>
      </c>
      <c r="F87" t="inlineStr">
        <is>
          <t>&lt; .001</t>
        </is>
      </c>
      <c r="G87" t="inlineStr">
        <is>
          <t>✓</t>
        </is>
      </c>
    </row>
    <row r="88">
      <c r="A88" t="inlineStr">
        <is>
          <t>R_a10p_ROI</t>
        </is>
      </c>
      <c r="B88" t="n">
        <v>-0.201</v>
      </c>
      <c r="C88" t="n">
        <v>1150</v>
      </c>
      <c r="D88" t="inlineStr">
        <is>
          <t>&lt; .001</t>
        </is>
      </c>
      <c r="E88" t="inlineStr">
        <is>
          <t>[-0.256, -0.145]</t>
        </is>
      </c>
      <c r="F88" t="inlineStr">
        <is>
          <t>&lt; .001</t>
        </is>
      </c>
      <c r="G88" t="inlineStr">
        <is>
          <t>✓</t>
        </is>
      </c>
    </row>
    <row r="89">
      <c r="A89" t="inlineStr">
        <is>
          <t>R_10pp_ROI</t>
        </is>
      </c>
      <c r="B89" t="n">
        <v>-0.19</v>
      </c>
      <c r="C89" t="n">
        <v>1150</v>
      </c>
      <c r="D89" t="inlineStr">
        <is>
          <t>&lt; .001</t>
        </is>
      </c>
      <c r="E89" t="inlineStr">
        <is>
          <t>[-0.245, -0.134]</t>
        </is>
      </c>
      <c r="F89" t="inlineStr">
        <is>
          <t>&lt; .001</t>
        </is>
      </c>
      <c r="G89" t="inlineStr">
        <is>
          <t>✓</t>
        </is>
      </c>
    </row>
    <row r="90">
      <c r="A90" t="inlineStr">
        <is>
          <t>R_11l_ROI</t>
        </is>
      </c>
      <c r="B90" t="n">
        <v>-0.173</v>
      </c>
      <c r="C90" t="n">
        <v>1150</v>
      </c>
      <c r="D90" t="inlineStr">
        <is>
          <t>&lt; .001</t>
        </is>
      </c>
      <c r="E90" t="inlineStr">
        <is>
          <t>[-0.228, -0.116]</t>
        </is>
      </c>
      <c r="F90" t="inlineStr">
        <is>
          <t>&lt; .001</t>
        </is>
      </c>
      <c r="G90" t="inlineStr">
        <is>
          <t>✓</t>
        </is>
      </c>
    </row>
    <row r="91">
      <c r="A91" t="inlineStr">
        <is>
          <t>R_13l_ROI</t>
        </is>
      </c>
      <c r="B91" t="n">
        <v>-0.176</v>
      </c>
      <c r="C91" t="n">
        <v>1150</v>
      </c>
      <c r="D91" t="inlineStr">
        <is>
          <t>&lt; .001</t>
        </is>
      </c>
      <c r="E91" t="inlineStr">
        <is>
          <t>[-0.232, -0.120]</t>
        </is>
      </c>
      <c r="F91" t="inlineStr">
        <is>
          <t>&lt; .001</t>
        </is>
      </c>
      <c r="G91" t="inlineStr">
        <is>
          <t>✓</t>
        </is>
      </c>
    </row>
    <row r="92">
      <c r="A92" t="inlineStr">
        <is>
          <t>R_OFC_ROI</t>
        </is>
      </c>
      <c r="B92" t="n">
        <v>0.146</v>
      </c>
      <c r="C92" t="n">
        <v>1150</v>
      </c>
      <c r="D92" t="inlineStr">
        <is>
          <t>&lt; .001</t>
        </is>
      </c>
      <c r="E92" t="inlineStr">
        <is>
          <t>[0.089, 0.202]</t>
        </is>
      </c>
      <c r="F92" t="inlineStr">
        <is>
          <t>&lt; .001</t>
        </is>
      </c>
      <c r="G92" t="inlineStr">
        <is>
          <t>✓</t>
        </is>
      </c>
    </row>
    <row r="93">
      <c r="A93" t="inlineStr">
        <is>
          <t>R_47s_ROI</t>
        </is>
      </c>
      <c r="B93" t="n">
        <v>-0.267</v>
      </c>
      <c r="C93" t="n">
        <v>1150</v>
      </c>
      <c r="D93" t="inlineStr">
        <is>
          <t>&lt; .001</t>
        </is>
      </c>
      <c r="E93" t="inlineStr">
        <is>
          <t>[-0.319, -0.212]</t>
        </is>
      </c>
      <c r="F93" t="inlineStr">
        <is>
          <t>&lt; .001</t>
        </is>
      </c>
      <c r="G93" t="inlineStr">
        <is>
          <t>✓</t>
        </is>
      </c>
    </row>
    <row r="94">
      <c r="A94" t="inlineStr">
        <is>
          <t>R_LIPd_ROI</t>
        </is>
      </c>
      <c r="B94" t="n">
        <v>-0.269</v>
      </c>
      <c r="C94" t="n">
        <v>1150</v>
      </c>
      <c r="D94" t="inlineStr">
        <is>
          <t>&lt; .001</t>
        </is>
      </c>
      <c r="E94" t="inlineStr">
        <is>
          <t>[-0.321, -0.214]</t>
        </is>
      </c>
      <c r="F94" t="inlineStr">
        <is>
          <t>&lt; .001</t>
        </is>
      </c>
      <c r="G94" t="inlineStr">
        <is>
          <t>✓</t>
        </is>
      </c>
    </row>
    <row r="95">
      <c r="A95" t="inlineStr">
        <is>
          <t>R_6a_ROI</t>
        </is>
      </c>
      <c r="B95" t="n">
        <v>-0.358</v>
      </c>
      <c r="C95" t="n">
        <v>1150</v>
      </c>
      <c r="D95" t="inlineStr">
        <is>
          <t>&lt; .001</t>
        </is>
      </c>
      <c r="E95" t="inlineStr">
        <is>
          <t>[-0.407, -0.307]</t>
        </is>
      </c>
      <c r="F95" t="inlineStr">
        <is>
          <t>&lt; .001</t>
        </is>
      </c>
      <c r="G95" t="inlineStr">
        <is>
          <t>✓</t>
        </is>
      </c>
    </row>
    <row r="96">
      <c r="A96" t="inlineStr">
        <is>
          <t>R_i6_8_ROI</t>
        </is>
      </c>
      <c r="B96" t="n">
        <v>-0.253</v>
      </c>
      <c r="C96" t="n">
        <v>1150</v>
      </c>
      <c r="D96" t="inlineStr">
        <is>
          <t>&lt; .001</t>
        </is>
      </c>
      <c r="E96" t="inlineStr">
        <is>
          <t>[-0.307, -0.199]</t>
        </is>
      </c>
      <c r="F96" t="inlineStr">
        <is>
          <t>&lt; .001</t>
        </is>
      </c>
      <c r="G96" t="inlineStr">
        <is>
          <t>✓</t>
        </is>
      </c>
    </row>
    <row r="97">
      <c r="A97" t="inlineStr">
        <is>
          <t>R_s6_8_ROI</t>
        </is>
      </c>
      <c r="B97" t="n">
        <v>-0.327</v>
      </c>
      <c r="C97" t="n">
        <v>1150</v>
      </c>
      <c r="D97" t="inlineStr">
        <is>
          <t>&lt; .001</t>
        </is>
      </c>
      <c r="E97" t="inlineStr">
        <is>
          <t>[-0.377, -0.274]</t>
        </is>
      </c>
      <c r="F97" t="inlineStr">
        <is>
          <t>&lt; .001</t>
        </is>
      </c>
      <c r="G97" t="inlineStr">
        <is>
          <t>✓</t>
        </is>
      </c>
    </row>
    <row r="98">
      <c r="A98" t="inlineStr">
        <is>
          <t>R_43_ROI</t>
        </is>
      </c>
      <c r="B98" t="n">
        <v>-0.371</v>
      </c>
      <c r="C98" t="n">
        <v>1150</v>
      </c>
      <c r="D98" t="inlineStr">
        <is>
          <t>&lt; .001</t>
        </is>
      </c>
      <c r="E98" t="inlineStr">
        <is>
          <t>[-0.420, -0.320]</t>
        </is>
      </c>
      <c r="F98" t="inlineStr">
        <is>
          <t>&lt; .001</t>
        </is>
      </c>
      <c r="G98" t="inlineStr">
        <is>
          <t>✓</t>
        </is>
      </c>
    </row>
    <row r="99">
      <c r="A99" t="inlineStr">
        <is>
          <t>R_OP4_ROI</t>
        </is>
      </c>
      <c r="B99" t="n">
        <v>-0.319</v>
      </c>
      <c r="C99" t="n">
        <v>1150</v>
      </c>
      <c r="D99" t="inlineStr">
        <is>
          <t>&lt; .001</t>
        </is>
      </c>
      <c r="E99" t="inlineStr">
        <is>
          <t>[-0.370, -0.266]</t>
        </is>
      </c>
      <c r="F99" t="inlineStr">
        <is>
          <t>&lt; .001</t>
        </is>
      </c>
      <c r="G99" t="inlineStr">
        <is>
          <t>✓</t>
        </is>
      </c>
    </row>
    <row r="100">
      <c r="A100" t="inlineStr">
        <is>
          <t>R_OP1_ROI</t>
        </is>
      </c>
      <c r="B100" t="n">
        <v>-0.239</v>
      </c>
      <c r="C100" t="n">
        <v>1150</v>
      </c>
      <c r="D100" t="inlineStr">
        <is>
          <t>&lt; .001</t>
        </is>
      </c>
      <c r="E100" t="inlineStr">
        <is>
          <t>[-0.293, -0.184]</t>
        </is>
      </c>
      <c r="F100" t="inlineStr">
        <is>
          <t>&lt; .001</t>
        </is>
      </c>
      <c r="G100" t="inlineStr">
        <is>
          <t>✓</t>
        </is>
      </c>
    </row>
    <row r="101">
      <c r="A101" t="inlineStr">
        <is>
          <t>R_OP2_3_ROI</t>
        </is>
      </c>
      <c r="B101" t="n">
        <v>-0.327</v>
      </c>
      <c r="C101" t="n">
        <v>1150</v>
      </c>
      <c r="D101" t="inlineStr">
        <is>
          <t>&lt; .001</t>
        </is>
      </c>
      <c r="E101" t="inlineStr">
        <is>
          <t>[-0.378, -0.274]</t>
        </is>
      </c>
      <c r="F101" t="inlineStr">
        <is>
          <t>&lt; .001</t>
        </is>
      </c>
      <c r="G101" t="inlineStr">
        <is>
          <t>✓</t>
        </is>
      </c>
    </row>
    <row r="102">
      <c r="A102" t="inlineStr">
        <is>
          <t>R_52_ROI</t>
        </is>
      </c>
      <c r="B102" t="n">
        <v>-0.288</v>
      </c>
      <c r="C102" t="n">
        <v>1150</v>
      </c>
      <c r="D102" t="inlineStr">
        <is>
          <t>&lt; .001</t>
        </is>
      </c>
      <c r="E102" t="inlineStr">
        <is>
          <t>[-0.340, -0.234]</t>
        </is>
      </c>
      <c r="F102" t="inlineStr">
        <is>
          <t>&lt; .001</t>
        </is>
      </c>
      <c r="G102" t="inlineStr">
        <is>
          <t>✓</t>
        </is>
      </c>
    </row>
    <row r="103">
      <c r="A103" t="inlineStr">
        <is>
          <t>R_RI_ROI</t>
        </is>
      </c>
      <c r="B103" t="n">
        <v>-0.437</v>
      </c>
      <c r="C103" t="n">
        <v>1150</v>
      </c>
      <c r="D103" t="inlineStr">
        <is>
          <t>&lt; .001</t>
        </is>
      </c>
      <c r="E103" t="inlineStr">
        <is>
          <t>[-0.483, -0.389]</t>
        </is>
      </c>
      <c r="F103" t="inlineStr">
        <is>
          <t>&lt; .001</t>
        </is>
      </c>
      <c r="G103" t="inlineStr">
        <is>
          <t>✓</t>
        </is>
      </c>
    </row>
    <row r="104">
      <c r="A104" t="inlineStr">
        <is>
          <t>R_PFcm_ROI</t>
        </is>
      </c>
      <c r="B104" t="n">
        <v>-0.319</v>
      </c>
      <c r="C104" t="n">
        <v>1150</v>
      </c>
      <c r="D104" t="inlineStr">
        <is>
          <t>&lt; .001</t>
        </is>
      </c>
      <c r="E104" t="inlineStr">
        <is>
          <t>[-0.370, -0.266]</t>
        </is>
      </c>
      <c r="F104" t="inlineStr">
        <is>
          <t>&lt; .001</t>
        </is>
      </c>
      <c r="G104" t="inlineStr">
        <is>
          <t>✓</t>
        </is>
      </c>
    </row>
    <row r="105">
      <c r="A105" t="inlineStr">
        <is>
          <t>R_PoI2_ROI</t>
        </is>
      </c>
      <c r="B105" t="n">
        <v>-0.244</v>
      </c>
      <c r="C105" t="n">
        <v>1150</v>
      </c>
      <c r="D105" t="inlineStr">
        <is>
          <t>&lt; .001</t>
        </is>
      </c>
      <c r="E105" t="inlineStr">
        <is>
          <t>[-0.298, -0.189]</t>
        </is>
      </c>
      <c r="F105" t="inlineStr">
        <is>
          <t>&lt; .001</t>
        </is>
      </c>
      <c r="G105" t="inlineStr">
        <is>
          <t>✓</t>
        </is>
      </c>
    </row>
    <row r="106">
      <c r="A106" t="inlineStr">
        <is>
          <t>R_TA2_ROI</t>
        </is>
      </c>
      <c r="B106" t="n">
        <v>-0.353</v>
      </c>
      <c r="C106" t="n">
        <v>1150</v>
      </c>
      <c r="D106" t="inlineStr">
        <is>
          <t>&lt; .001</t>
        </is>
      </c>
      <c r="E106" t="inlineStr">
        <is>
          <t>[-0.403, -0.301]</t>
        </is>
      </c>
      <c r="F106" t="inlineStr">
        <is>
          <t>&lt; .001</t>
        </is>
      </c>
      <c r="G106" t="inlineStr">
        <is>
          <t>✓</t>
        </is>
      </c>
    </row>
    <row r="107">
      <c r="A107" t="inlineStr">
        <is>
          <t>R_FOP4_ROI</t>
        </is>
      </c>
      <c r="B107" t="n">
        <v>-0.346</v>
      </c>
      <c r="C107" t="n">
        <v>1150</v>
      </c>
      <c r="D107" t="inlineStr">
        <is>
          <t>&lt; .001</t>
        </is>
      </c>
      <c r="E107" t="inlineStr">
        <is>
          <t>[-0.396, -0.294]</t>
        </is>
      </c>
      <c r="F107" t="inlineStr">
        <is>
          <t>&lt; .001</t>
        </is>
      </c>
      <c r="G107" t="inlineStr">
        <is>
          <t>✓</t>
        </is>
      </c>
    </row>
    <row r="108">
      <c r="A108" t="inlineStr">
        <is>
          <t>R_MI_ROI</t>
        </is>
      </c>
      <c r="B108" t="n">
        <v>-0.347</v>
      </c>
      <c r="C108" t="n">
        <v>1150</v>
      </c>
      <c r="D108" t="inlineStr">
        <is>
          <t>&lt; .001</t>
        </is>
      </c>
      <c r="E108" t="inlineStr">
        <is>
          <t>[-0.397, -0.295]</t>
        </is>
      </c>
      <c r="F108" t="inlineStr">
        <is>
          <t>&lt; .001</t>
        </is>
      </c>
      <c r="G108" t="inlineStr">
        <is>
          <t>✓</t>
        </is>
      </c>
    </row>
    <row r="109">
      <c r="A109" t="inlineStr">
        <is>
          <t>R_AVI_ROI</t>
        </is>
      </c>
      <c r="B109" t="n">
        <v>-0.306</v>
      </c>
      <c r="C109" t="n">
        <v>1150</v>
      </c>
      <c r="D109" t="inlineStr">
        <is>
          <t>&lt; .001</t>
        </is>
      </c>
      <c r="E109" t="inlineStr">
        <is>
          <t>[-0.358, -0.253]</t>
        </is>
      </c>
      <c r="F109" t="inlineStr">
        <is>
          <t>&lt; .001</t>
        </is>
      </c>
      <c r="G109" t="inlineStr">
        <is>
          <t>✓</t>
        </is>
      </c>
    </row>
    <row r="110">
      <c r="A110" t="inlineStr">
        <is>
          <t>R_AAIC_ROI</t>
        </is>
      </c>
      <c r="B110" t="n">
        <v>-0.248</v>
      </c>
      <c r="C110" t="n">
        <v>1150</v>
      </c>
      <c r="D110" t="inlineStr">
        <is>
          <t>&lt; .001</t>
        </is>
      </c>
      <c r="E110" t="inlineStr">
        <is>
          <t>[-0.301, -0.193]</t>
        </is>
      </c>
      <c r="F110" t="inlineStr">
        <is>
          <t>&lt; .001</t>
        </is>
      </c>
      <c r="G110" t="inlineStr">
        <is>
          <t>✓</t>
        </is>
      </c>
    </row>
    <row r="111">
      <c r="A111" t="inlineStr">
        <is>
          <t>R_FOP1_ROI</t>
        </is>
      </c>
      <c r="B111" t="n">
        <v>-0.324</v>
      </c>
      <c r="C111" t="n">
        <v>1150</v>
      </c>
      <c r="D111" t="inlineStr">
        <is>
          <t>&lt; .001</t>
        </is>
      </c>
      <c r="E111" t="inlineStr">
        <is>
          <t>[-0.374, -0.271]</t>
        </is>
      </c>
      <c r="F111" t="inlineStr">
        <is>
          <t>&lt; .001</t>
        </is>
      </c>
      <c r="G111" t="inlineStr">
        <is>
          <t>✓</t>
        </is>
      </c>
    </row>
    <row r="112">
      <c r="A112" t="inlineStr">
        <is>
          <t>R_FOP3_ROI</t>
        </is>
      </c>
      <c r="B112" t="n">
        <v>-0.183</v>
      </c>
      <c r="C112" t="n">
        <v>1150</v>
      </c>
      <c r="D112" t="inlineStr">
        <is>
          <t>&lt; .001</t>
        </is>
      </c>
      <c r="E112" t="inlineStr">
        <is>
          <t>[-0.239, -0.127]</t>
        </is>
      </c>
      <c r="F112" t="inlineStr">
        <is>
          <t>&lt; .001</t>
        </is>
      </c>
      <c r="G112" t="inlineStr">
        <is>
          <t>✓</t>
        </is>
      </c>
    </row>
    <row r="113">
      <c r="A113" t="inlineStr">
        <is>
          <t>R_FOP2_ROI</t>
        </is>
      </c>
      <c r="B113" t="n">
        <v>-0.18</v>
      </c>
      <c r="C113" t="n">
        <v>1150</v>
      </c>
      <c r="D113" t="inlineStr">
        <is>
          <t>&lt; .001</t>
        </is>
      </c>
      <c r="E113" t="inlineStr">
        <is>
          <t>[-0.236, -0.124]</t>
        </is>
      </c>
      <c r="F113" t="inlineStr">
        <is>
          <t>&lt; .001</t>
        </is>
      </c>
      <c r="G113" t="inlineStr">
        <is>
          <t>✓</t>
        </is>
      </c>
    </row>
    <row r="114">
      <c r="A114" t="inlineStr">
        <is>
          <t>R_PFt_ROI</t>
        </is>
      </c>
      <c r="B114" t="n">
        <v>-0.347</v>
      </c>
      <c r="C114" t="n">
        <v>1150</v>
      </c>
      <c r="D114" t="inlineStr">
        <is>
          <t>&lt; .001</t>
        </is>
      </c>
      <c r="E114" t="inlineStr">
        <is>
          <t>[-0.397, -0.295]</t>
        </is>
      </c>
      <c r="F114" t="inlineStr">
        <is>
          <t>&lt; .001</t>
        </is>
      </c>
      <c r="G114" t="inlineStr">
        <is>
          <t>✓</t>
        </is>
      </c>
    </row>
    <row r="115">
      <c r="A115" t="inlineStr">
        <is>
          <t>R_AIP_ROI</t>
        </is>
      </c>
      <c r="B115" t="n">
        <v>-0.436</v>
      </c>
      <c r="C115" t="n">
        <v>1150</v>
      </c>
      <c r="D115" t="inlineStr">
        <is>
          <t>&lt; .001</t>
        </is>
      </c>
      <c r="E115" t="inlineStr">
        <is>
          <t>[-0.482, -0.388]</t>
        </is>
      </c>
      <c r="F115" t="inlineStr">
        <is>
          <t>&lt; .001</t>
        </is>
      </c>
      <c r="G115" t="inlineStr">
        <is>
          <t>✓</t>
        </is>
      </c>
    </row>
    <row r="116">
      <c r="A116" t="inlineStr">
        <is>
          <t>R_EC_ROI</t>
        </is>
      </c>
      <c r="B116" t="n">
        <v>-0.118</v>
      </c>
      <c r="C116" t="n">
        <v>1150</v>
      </c>
      <c r="D116" t="inlineStr">
        <is>
          <t>&lt; .001</t>
        </is>
      </c>
      <c r="E116" t="inlineStr">
        <is>
          <t>[-0.175, -0.061]</t>
        </is>
      </c>
      <c r="F116" t="inlineStr">
        <is>
          <t>&lt; .001</t>
        </is>
      </c>
      <c r="G116" t="inlineStr">
        <is>
          <t>✓</t>
        </is>
      </c>
    </row>
    <row r="117">
      <c r="A117" t="inlineStr">
        <is>
          <t>R_PreS_ROI</t>
        </is>
      </c>
      <c r="B117" t="n">
        <v>0.08400000000000001</v>
      </c>
      <c r="C117" t="n">
        <v>1150</v>
      </c>
      <c r="D117">
        <f> 0.004</f>
        <v/>
      </c>
      <c r="E117" t="inlineStr">
        <is>
          <t>[0.026, 0.141]</t>
        </is>
      </c>
      <c r="F117">
        <f> 0.005</f>
        <v/>
      </c>
      <c r="G117" t="inlineStr">
        <is>
          <t>✓</t>
        </is>
      </c>
    </row>
    <row r="118">
      <c r="A118" t="inlineStr">
        <is>
          <t>R_H_ROI</t>
        </is>
      </c>
      <c r="B118" t="n">
        <v>0.074</v>
      </c>
      <c r="C118" t="n">
        <v>1150</v>
      </c>
      <c r="D118">
        <f> 0.012</f>
        <v/>
      </c>
      <c r="E118" t="inlineStr">
        <is>
          <t>[0.017, 0.132]</t>
        </is>
      </c>
      <c r="F118">
        <f> 0.012</f>
        <v/>
      </c>
      <c r="G118" t="inlineStr">
        <is>
          <t>✓</t>
        </is>
      </c>
    </row>
    <row r="119">
      <c r="A119" t="inlineStr">
        <is>
          <t>R_ProS_ROI</t>
        </is>
      </c>
      <c r="B119" t="n">
        <v>-0.344</v>
      </c>
      <c r="C119" t="n">
        <v>1150</v>
      </c>
      <c r="D119" t="inlineStr">
        <is>
          <t>&lt; .001</t>
        </is>
      </c>
      <c r="E119" t="inlineStr">
        <is>
          <t>[-0.394, -0.292]</t>
        </is>
      </c>
      <c r="F119" t="inlineStr">
        <is>
          <t>&lt; .001</t>
        </is>
      </c>
      <c r="G119" t="inlineStr">
        <is>
          <t>✓</t>
        </is>
      </c>
    </row>
    <row r="120">
      <c r="A120" t="inlineStr">
        <is>
          <t>R_PeEc_ROI</t>
        </is>
      </c>
      <c r="B120" t="n">
        <v>-0.331</v>
      </c>
      <c r="C120" t="n">
        <v>1150</v>
      </c>
      <c r="D120" t="inlineStr">
        <is>
          <t>&lt; .001</t>
        </is>
      </c>
      <c r="E120" t="inlineStr">
        <is>
          <t>[-0.381, -0.278]</t>
        </is>
      </c>
      <c r="F120" t="inlineStr">
        <is>
          <t>&lt; .001</t>
        </is>
      </c>
      <c r="G120" t="inlineStr">
        <is>
          <t>✓</t>
        </is>
      </c>
    </row>
    <row r="121">
      <c r="A121" t="inlineStr">
        <is>
          <t>R_STGa_ROI</t>
        </is>
      </c>
      <c r="B121" t="n">
        <v>-0.313</v>
      </c>
      <c r="C121" t="n">
        <v>1150</v>
      </c>
      <c r="D121" t="inlineStr">
        <is>
          <t>&lt; .001</t>
        </is>
      </c>
      <c r="E121" t="inlineStr">
        <is>
          <t>[-0.364, -0.260]</t>
        </is>
      </c>
      <c r="F121" t="inlineStr">
        <is>
          <t>&lt; .001</t>
        </is>
      </c>
      <c r="G121" t="inlineStr">
        <is>
          <t>✓</t>
        </is>
      </c>
    </row>
    <row r="122">
      <c r="A122" t="inlineStr">
        <is>
          <t>R_PBelt_ROI</t>
        </is>
      </c>
      <c r="B122" t="n">
        <v>-0.369</v>
      </c>
      <c r="C122" t="n">
        <v>1150</v>
      </c>
      <c r="D122" t="inlineStr">
        <is>
          <t>&lt; .001</t>
        </is>
      </c>
      <c r="E122" t="inlineStr">
        <is>
          <t>[-0.418, -0.318]</t>
        </is>
      </c>
      <c r="F122" t="inlineStr">
        <is>
          <t>&lt; .001</t>
        </is>
      </c>
      <c r="G122" t="inlineStr">
        <is>
          <t>✓</t>
        </is>
      </c>
    </row>
    <row r="123">
      <c r="A123" t="inlineStr">
        <is>
          <t>R_A5_ROI</t>
        </is>
      </c>
      <c r="B123" t="n">
        <v>-0.369</v>
      </c>
      <c r="C123" t="n">
        <v>1150</v>
      </c>
      <c r="D123" t="inlineStr">
        <is>
          <t>&lt; .001</t>
        </is>
      </c>
      <c r="E123" t="inlineStr">
        <is>
          <t>[-0.418, -0.318]</t>
        </is>
      </c>
      <c r="F123" t="inlineStr">
        <is>
          <t>&lt; .001</t>
        </is>
      </c>
      <c r="G123" t="inlineStr">
        <is>
          <t>✓</t>
        </is>
      </c>
    </row>
    <row r="124">
      <c r="A124" t="inlineStr">
        <is>
          <t>R_PHA1_ROI</t>
        </is>
      </c>
      <c r="B124" t="n">
        <v>-0.266</v>
      </c>
      <c r="C124" t="n">
        <v>1150</v>
      </c>
      <c r="D124" t="inlineStr">
        <is>
          <t>&lt; .001</t>
        </is>
      </c>
      <c r="E124" t="inlineStr">
        <is>
          <t>[-0.319, -0.212]</t>
        </is>
      </c>
      <c r="F124" t="inlineStr">
        <is>
          <t>&lt; .001</t>
        </is>
      </c>
      <c r="G124" t="inlineStr">
        <is>
          <t>✓</t>
        </is>
      </c>
    </row>
    <row r="125">
      <c r="A125" t="inlineStr">
        <is>
          <t>R_PHA3_ROI</t>
        </is>
      </c>
      <c r="B125" t="n">
        <v>-0.259</v>
      </c>
      <c r="C125" t="n">
        <v>1150</v>
      </c>
      <c r="D125" t="inlineStr">
        <is>
          <t>&lt; .001</t>
        </is>
      </c>
      <c r="E125" t="inlineStr">
        <is>
          <t>[-0.312, -0.205]</t>
        </is>
      </c>
      <c r="F125" t="inlineStr">
        <is>
          <t>&lt; .001</t>
        </is>
      </c>
      <c r="G125" t="inlineStr">
        <is>
          <t>✓</t>
        </is>
      </c>
    </row>
    <row r="126">
      <c r="A126" t="inlineStr">
        <is>
          <t>R_STSda_ROI</t>
        </is>
      </c>
      <c r="B126" t="n">
        <v>-0.391</v>
      </c>
      <c r="C126" t="n">
        <v>1150</v>
      </c>
      <c r="D126" t="inlineStr">
        <is>
          <t>&lt; .001</t>
        </is>
      </c>
      <c r="E126" t="inlineStr">
        <is>
          <t>[-0.439, -0.341]</t>
        </is>
      </c>
      <c r="F126" t="inlineStr">
        <is>
          <t>&lt; .001</t>
        </is>
      </c>
      <c r="G126" t="inlineStr">
        <is>
          <t>✓</t>
        </is>
      </c>
    </row>
    <row r="127">
      <c r="A127" t="inlineStr">
        <is>
          <t>R_STSdp_ROI</t>
        </is>
      </c>
      <c r="B127" t="n">
        <v>-0.421</v>
      </c>
      <c r="C127" t="n">
        <v>1150</v>
      </c>
      <c r="D127" t="inlineStr">
        <is>
          <t>&lt; .001</t>
        </is>
      </c>
      <c r="E127" t="inlineStr">
        <is>
          <t>[-0.467, -0.372]</t>
        </is>
      </c>
      <c r="F127" t="inlineStr">
        <is>
          <t>&lt; .001</t>
        </is>
      </c>
      <c r="G127" t="inlineStr">
        <is>
          <t>✓</t>
        </is>
      </c>
    </row>
    <row r="128">
      <c r="A128" t="inlineStr">
        <is>
          <t>R_STSvp_ROI</t>
        </is>
      </c>
      <c r="B128" t="n">
        <v>-0.35</v>
      </c>
      <c r="C128" t="n">
        <v>1150</v>
      </c>
      <c r="D128" t="inlineStr">
        <is>
          <t>&lt; .001</t>
        </is>
      </c>
      <c r="E128" t="inlineStr">
        <is>
          <t>[-0.400, -0.298]</t>
        </is>
      </c>
      <c r="F128" t="inlineStr">
        <is>
          <t>&lt; .001</t>
        </is>
      </c>
      <c r="G128" t="inlineStr">
        <is>
          <t>✓</t>
        </is>
      </c>
    </row>
    <row r="129">
      <c r="A129" t="inlineStr">
        <is>
          <t>R_TGd_ROI</t>
        </is>
      </c>
      <c r="B129" t="n">
        <v>-0.459</v>
      </c>
      <c r="C129" t="n">
        <v>1150</v>
      </c>
      <c r="D129" t="inlineStr">
        <is>
          <t>&lt; .001</t>
        </is>
      </c>
      <c r="E129" t="inlineStr">
        <is>
          <t>[-0.503, -0.412]</t>
        </is>
      </c>
      <c r="F129" t="inlineStr">
        <is>
          <t>&lt; .001</t>
        </is>
      </c>
      <c r="G129" t="inlineStr">
        <is>
          <t>✓</t>
        </is>
      </c>
    </row>
    <row r="130">
      <c r="A130" t="inlineStr">
        <is>
          <t>R_TE1a_ROI</t>
        </is>
      </c>
      <c r="B130" t="n">
        <v>-0.303</v>
      </c>
      <c r="C130" t="n">
        <v>1150</v>
      </c>
      <c r="D130" t="inlineStr">
        <is>
          <t>&lt; .001</t>
        </is>
      </c>
      <c r="E130" t="inlineStr">
        <is>
          <t>[-0.355, -0.250]</t>
        </is>
      </c>
      <c r="F130" t="inlineStr">
        <is>
          <t>&lt; .001</t>
        </is>
      </c>
      <c r="G130" t="inlineStr">
        <is>
          <t>✓</t>
        </is>
      </c>
    </row>
    <row r="131">
      <c r="A131" t="inlineStr">
        <is>
          <t>R_TE1p_ROI</t>
        </is>
      </c>
      <c r="B131" t="n">
        <v>-0.391</v>
      </c>
      <c r="C131" t="n">
        <v>1150</v>
      </c>
      <c r="D131" t="inlineStr">
        <is>
          <t>&lt; .001</t>
        </is>
      </c>
      <c r="E131" t="inlineStr">
        <is>
          <t>[-0.439, -0.341]</t>
        </is>
      </c>
      <c r="F131" t="inlineStr">
        <is>
          <t>&lt; .001</t>
        </is>
      </c>
      <c r="G131" t="inlineStr">
        <is>
          <t>✓</t>
        </is>
      </c>
    </row>
    <row r="132">
      <c r="A132" t="inlineStr">
        <is>
          <t>R_TE2a_ROI</t>
        </is>
      </c>
      <c r="B132" t="n">
        <v>-0.361</v>
      </c>
      <c r="C132" t="n">
        <v>1150</v>
      </c>
      <c r="D132" t="inlineStr">
        <is>
          <t>&lt; .001</t>
        </is>
      </c>
      <c r="E132" t="inlineStr">
        <is>
          <t>[-0.410, -0.310]</t>
        </is>
      </c>
      <c r="F132" t="inlineStr">
        <is>
          <t>&lt; .001</t>
        </is>
      </c>
      <c r="G132" t="inlineStr">
        <is>
          <t>✓</t>
        </is>
      </c>
    </row>
    <row r="133">
      <c r="A133" t="inlineStr">
        <is>
          <t>R_TF_ROI</t>
        </is>
      </c>
      <c r="B133" t="n">
        <v>-0.361</v>
      </c>
      <c r="C133" t="n">
        <v>1150</v>
      </c>
      <c r="D133" t="inlineStr">
        <is>
          <t>&lt; .001</t>
        </is>
      </c>
      <c r="E133" t="inlineStr">
        <is>
          <t>[-0.411, -0.310]</t>
        </is>
      </c>
      <c r="F133" t="inlineStr">
        <is>
          <t>&lt; .001</t>
        </is>
      </c>
      <c r="G133" t="inlineStr">
        <is>
          <t>✓</t>
        </is>
      </c>
    </row>
    <row r="134">
      <c r="A134" t="inlineStr">
        <is>
          <t>R_TE2p_ROI</t>
        </is>
      </c>
      <c r="B134" t="n">
        <v>-0.338</v>
      </c>
      <c r="C134" t="n">
        <v>1150</v>
      </c>
      <c r="D134" t="inlineStr">
        <is>
          <t>&lt; .001</t>
        </is>
      </c>
      <c r="E134" t="inlineStr">
        <is>
          <t>[-0.388, -0.286]</t>
        </is>
      </c>
      <c r="F134" t="inlineStr">
        <is>
          <t>&lt; .001</t>
        </is>
      </c>
      <c r="G134" t="inlineStr">
        <is>
          <t>✓</t>
        </is>
      </c>
    </row>
    <row r="135">
      <c r="A135" t="inlineStr">
        <is>
          <t>R_PHT_ROI</t>
        </is>
      </c>
      <c r="B135" t="n">
        <v>-0.273</v>
      </c>
      <c r="C135" t="n">
        <v>1150</v>
      </c>
      <c r="D135" t="inlineStr">
        <is>
          <t>&lt; .001</t>
        </is>
      </c>
      <c r="E135" t="inlineStr">
        <is>
          <t>[-0.326, -0.219]</t>
        </is>
      </c>
      <c r="F135" t="inlineStr">
        <is>
          <t>&lt; .001</t>
        </is>
      </c>
      <c r="G135" t="inlineStr">
        <is>
          <t>✓</t>
        </is>
      </c>
    </row>
    <row r="136">
      <c r="A136" t="inlineStr">
        <is>
          <t>R_PH_ROI</t>
        </is>
      </c>
      <c r="B136" t="n">
        <v>-0.331</v>
      </c>
      <c r="C136" t="n">
        <v>1150</v>
      </c>
      <c r="D136" t="inlineStr">
        <is>
          <t>&lt; .001</t>
        </is>
      </c>
      <c r="E136" t="inlineStr">
        <is>
          <t>[-0.382, -0.279]</t>
        </is>
      </c>
      <c r="F136" t="inlineStr">
        <is>
          <t>&lt; .001</t>
        </is>
      </c>
      <c r="G136" t="inlineStr">
        <is>
          <t>✓</t>
        </is>
      </c>
    </row>
    <row r="137">
      <c r="A137" t="inlineStr">
        <is>
          <t>R_TPOJ1_ROI</t>
        </is>
      </c>
      <c r="B137" t="n">
        <v>-0.394</v>
      </c>
      <c r="C137" t="n">
        <v>1150</v>
      </c>
      <c r="D137" t="inlineStr">
        <is>
          <t>&lt; .001</t>
        </is>
      </c>
      <c r="E137" t="inlineStr">
        <is>
          <t>[-0.441, -0.344]</t>
        </is>
      </c>
      <c r="F137" t="inlineStr">
        <is>
          <t>&lt; .001</t>
        </is>
      </c>
      <c r="G137" t="inlineStr">
        <is>
          <t>✓</t>
        </is>
      </c>
    </row>
    <row r="138">
      <c r="A138" t="inlineStr">
        <is>
          <t>R_TPOJ2_ROI</t>
        </is>
      </c>
      <c r="B138" t="n">
        <v>-0.322</v>
      </c>
      <c r="C138" t="n">
        <v>1150</v>
      </c>
      <c r="D138" t="inlineStr">
        <is>
          <t>&lt; .001</t>
        </is>
      </c>
      <c r="E138" t="inlineStr">
        <is>
          <t>[-0.373, -0.269]</t>
        </is>
      </c>
      <c r="F138" t="inlineStr">
        <is>
          <t>&lt; .001</t>
        </is>
      </c>
      <c r="G138" t="inlineStr">
        <is>
          <t>✓</t>
        </is>
      </c>
    </row>
    <row r="139">
      <c r="A139" t="inlineStr">
        <is>
          <t>R_TPOJ3_ROI</t>
        </is>
      </c>
      <c r="B139" t="n">
        <v>-0.367</v>
      </c>
      <c r="C139" t="n">
        <v>1150</v>
      </c>
      <c r="D139" t="inlineStr">
        <is>
          <t>&lt; .001</t>
        </is>
      </c>
      <c r="E139" t="inlineStr">
        <is>
          <t>[-0.416, -0.316]</t>
        </is>
      </c>
      <c r="F139" t="inlineStr">
        <is>
          <t>&lt; .001</t>
        </is>
      </c>
      <c r="G139" t="inlineStr">
        <is>
          <t>✓</t>
        </is>
      </c>
    </row>
    <row r="140">
      <c r="A140" t="inlineStr">
        <is>
          <t>R_DVT_ROI</t>
        </is>
      </c>
      <c r="B140" t="n">
        <v>-0.393</v>
      </c>
      <c r="C140" t="n">
        <v>1150</v>
      </c>
      <c r="D140" t="inlineStr">
        <is>
          <t>&lt; .001</t>
        </is>
      </c>
      <c r="E140" t="inlineStr">
        <is>
          <t>[-0.440, -0.343]</t>
        </is>
      </c>
      <c r="F140" t="inlineStr">
        <is>
          <t>&lt; .001</t>
        </is>
      </c>
      <c r="G140" t="inlineStr">
        <is>
          <t>✓</t>
        </is>
      </c>
    </row>
    <row r="141">
      <c r="A141" t="inlineStr">
        <is>
          <t>R_PGp_ROI</t>
        </is>
      </c>
      <c r="B141" t="n">
        <v>-0.33</v>
      </c>
      <c r="C141" t="n">
        <v>1150</v>
      </c>
      <c r="D141" t="inlineStr">
        <is>
          <t>&lt; .001</t>
        </is>
      </c>
      <c r="E141" t="inlineStr">
        <is>
          <t>[-0.380, -0.277]</t>
        </is>
      </c>
      <c r="F141" t="inlineStr">
        <is>
          <t>&lt; .001</t>
        </is>
      </c>
      <c r="G141" t="inlineStr">
        <is>
          <t>✓</t>
        </is>
      </c>
    </row>
    <row r="142">
      <c r="A142" t="inlineStr">
        <is>
          <t>R_IP2_ROI</t>
        </is>
      </c>
      <c r="B142" t="n">
        <v>-0.412</v>
      </c>
      <c r="C142" t="n">
        <v>1150</v>
      </c>
      <c r="D142" t="inlineStr">
        <is>
          <t>&lt; .001</t>
        </is>
      </c>
      <c r="E142" t="inlineStr">
        <is>
          <t>[-0.459, -0.363]</t>
        </is>
      </c>
      <c r="F142" t="inlineStr">
        <is>
          <t>&lt; .001</t>
        </is>
      </c>
      <c r="G142" t="inlineStr">
        <is>
          <t>✓</t>
        </is>
      </c>
    </row>
    <row r="143">
      <c r="A143" t="inlineStr">
        <is>
          <t>R_IP1_ROI</t>
        </is>
      </c>
      <c r="B143" t="n">
        <v>-0.293</v>
      </c>
      <c r="C143" t="n">
        <v>1150</v>
      </c>
      <c r="D143" t="inlineStr">
        <is>
          <t>&lt; .001</t>
        </is>
      </c>
      <c r="E143" t="inlineStr">
        <is>
          <t>[-0.345, -0.239]</t>
        </is>
      </c>
      <c r="F143" t="inlineStr">
        <is>
          <t>&lt; .001</t>
        </is>
      </c>
      <c r="G143" t="inlineStr">
        <is>
          <t>✓</t>
        </is>
      </c>
    </row>
    <row r="144">
      <c r="A144" t="inlineStr">
        <is>
          <t>R_IP0_ROI</t>
        </is>
      </c>
      <c r="B144" t="n">
        <v>-0.247</v>
      </c>
      <c r="C144" t="n">
        <v>1150</v>
      </c>
      <c r="D144" t="inlineStr">
        <is>
          <t>&lt; .001</t>
        </is>
      </c>
      <c r="E144" t="inlineStr">
        <is>
          <t>[-0.301, -0.192]</t>
        </is>
      </c>
      <c r="F144" t="inlineStr">
        <is>
          <t>&lt; .001</t>
        </is>
      </c>
      <c r="G144" t="inlineStr">
        <is>
          <t>✓</t>
        </is>
      </c>
    </row>
    <row r="145">
      <c r="A145" t="inlineStr">
        <is>
          <t>R_PFop_ROI</t>
        </is>
      </c>
      <c r="B145" t="n">
        <v>-0.292</v>
      </c>
      <c r="C145" t="n">
        <v>1150</v>
      </c>
      <c r="D145" t="inlineStr">
        <is>
          <t>&lt; .001</t>
        </is>
      </c>
      <c r="E145" t="inlineStr">
        <is>
          <t>[-0.344, -0.238]</t>
        </is>
      </c>
      <c r="F145" t="inlineStr">
        <is>
          <t>&lt; .001</t>
        </is>
      </c>
      <c r="G145" t="inlineStr">
        <is>
          <t>✓</t>
        </is>
      </c>
    </row>
    <row r="146">
      <c r="A146" t="inlineStr">
        <is>
          <t>R_PF_ROI</t>
        </is>
      </c>
      <c r="B146" t="n">
        <v>-0.374</v>
      </c>
      <c r="C146" t="n">
        <v>1150</v>
      </c>
      <c r="D146" t="inlineStr">
        <is>
          <t>&lt; .001</t>
        </is>
      </c>
      <c r="E146" t="inlineStr">
        <is>
          <t>[-0.422, -0.323]</t>
        </is>
      </c>
      <c r="F146" t="inlineStr">
        <is>
          <t>&lt; .001</t>
        </is>
      </c>
      <c r="G146" t="inlineStr">
        <is>
          <t>✓</t>
        </is>
      </c>
    </row>
    <row r="147">
      <c r="A147" t="inlineStr">
        <is>
          <t>R_PFm_ROI</t>
        </is>
      </c>
      <c r="B147" t="n">
        <v>-0.454</v>
      </c>
      <c r="C147" t="n">
        <v>1150</v>
      </c>
      <c r="D147" t="inlineStr">
        <is>
          <t>&lt; .001</t>
        </is>
      </c>
      <c r="E147" t="inlineStr">
        <is>
          <t>[-0.499, -0.407]</t>
        </is>
      </c>
      <c r="F147" t="inlineStr">
        <is>
          <t>&lt; .001</t>
        </is>
      </c>
      <c r="G147" t="inlineStr">
        <is>
          <t>✓</t>
        </is>
      </c>
    </row>
    <row r="148">
      <c r="A148" t="inlineStr">
        <is>
          <t>R_PGi_ROI</t>
        </is>
      </c>
      <c r="B148" t="n">
        <v>-0.394</v>
      </c>
      <c r="C148" t="n">
        <v>1150</v>
      </c>
      <c r="D148" t="inlineStr">
        <is>
          <t>&lt; .001</t>
        </is>
      </c>
      <c r="E148" t="inlineStr">
        <is>
          <t>[-0.442, -0.344]</t>
        </is>
      </c>
      <c r="F148" t="inlineStr">
        <is>
          <t>&lt; .001</t>
        </is>
      </c>
      <c r="G148" t="inlineStr">
        <is>
          <t>✓</t>
        </is>
      </c>
    </row>
    <row r="149">
      <c r="A149" t="inlineStr">
        <is>
          <t>R_PGs_ROI</t>
        </is>
      </c>
      <c r="B149" t="n">
        <v>-0.335</v>
      </c>
      <c r="C149" t="n">
        <v>1150</v>
      </c>
      <c r="D149" t="inlineStr">
        <is>
          <t>&lt; .001</t>
        </is>
      </c>
      <c r="E149" t="inlineStr">
        <is>
          <t>[-0.386, -0.283]</t>
        </is>
      </c>
      <c r="F149" t="inlineStr">
        <is>
          <t>&lt; .001</t>
        </is>
      </c>
      <c r="G149" t="inlineStr">
        <is>
          <t>✓</t>
        </is>
      </c>
    </row>
    <row r="150">
      <c r="A150" t="inlineStr">
        <is>
          <t>R_V6A_ROI</t>
        </is>
      </c>
      <c r="B150" t="n">
        <v>-0.296</v>
      </c>
      <c r="C150" t="n">
        <v>1150</v>
      </c>
      <c r="D150" t="inlineStr">
        <is>
          <t>&lt; .001</t>
        </is>
      </c>
      <c r="E150" t="inlineStr">
        <is>
          <t>[-0.348, -0.242]</t>
        </is>
      </c>
      <c r="F150" t="inlineStr">
        <is>
          <t>&lt; .001</t>
        </is>
      </c>
      <c r="G150" t="inlineStr">
        <is>
          <t>✓</t>
        </is>
      </c>
    </row>
    <row r="151">
      <c r="A151" t="inlineStr">
        <is>
          <t>R_VMV1_ROI</t>
        </is>
      </c>
      <c r="B151" t="n">
        <v>-0.344</v>
      </c>
      <c r="C151" t="n">
        <v>1150</v>
      </c>
      <c r="D151" t="inlineStr">
        <is>
          <t>&lt; .001</t>
        </is>
      </c>
      <c r="E151" t="inlineStr">
        <is>
          <t>[-0.394, -0.292]</t>
        </is>
      </c>
      <c r="F151" t="inlineStr">
        <is>
          <t>&lt; .001</t>
        </is>
      </c>
      <c r="G151" t="inlineStr">
        <is>
          <t>✓</t>
        </is>
      </c>
    </row>
    <row r="152">
      <c r="A152" t="inlineStr">
        <is>
          <t>R_VMV3_ROI</t>
        </is>
      </c>
      <c r="B152" t="n">
        <v>-0.284</v>
      </c>
      <c r="C152" t="n">
        <v>1150</v>
      </c>
      <c r="D152" t="inlineStr">
        <is>
          <t>&lt; .001</t>
        </is>
      </c>
      <c r="E152" t="inlineStr">
        <is>
          <t>[-0.337, -0.230]</t>
        </is>
      </c>
      <c r="F152" t="inlineStr">
        <is>
          <t>&lt; .001</t>
        </is>
      </c>
      <c r="G152" t="inlineStr">
        <is>
          <t>✓</t>
        </is>
      </c>
    </row>
    <row r="153">
      <c r="A153" t="inlineStr">
        <is>
          <t>R_PHA2_ROI</t>
        </is>
      </c>
      <c r="B153" t="n">
        <v>-0.38</v>
      </c>
      <c r="C153" t="n">
        <v>1150</v>
      </c>
      <c r="D153" t="inlineStr">
        <is>
          <t>&lt; .001</t>
        </is>
      </c>
      <c r="E153" t="inlineStr">
        <is>
          <t>[-0.428, -0.329]</t>
        </is>
      </c>
      <c r="F153" t="inlineStr">
        <is>
          <t>&lt; .001</t>
        </is>
      </c>
      <c r="G153" t="inlineStr">
        <is>
          <t>✓</t>
        </is>
      </c>
    </row>
    <row r="154">
      <c r="A154" t="inlineStr">
        <is>
          <t>R_V4t_ROI</t>
        </is>
      </c>
      <c r="B154" t="n">
        <v>-0.21</v>
      </c>
      <c r="C154" t="n">
        <v>1150</v>
      </c>
      <c r="D154" t="inlineStr">
        <is>
          <t>&lt; .001</t>
        </is>
      </c>
      <c r="E154" t="inlineStr">
        <is>
          <t>[-0.265, -0.154]</t>
        </is>
      </c>
      <c r="F154" t="inlineStr">
        <is>
          <t>&lt; .001</t>
        </is>
      </c>
      <c r="G154" t="inlineStr">
        <is>
          <t>✓</t>
        </is>
      </c>
    </row>
    <row r="155">
      <c r="A155" t="inlineStr">
        <is>
          <t>R_FST_ROI</t>
        </is>
      </c>
      <c r="B155" t="n">
        <v>-0.259</v>
      </c>
      <c r="C155" t="n">
        <v>1150</v>
      </c>
      <c r="D155" t="inlineStr">
        <is>
          <t>&lt; .001</t>
        </is>
      </c>
      <c r="E155" t="inlineStr">
        <is>
          <t>[-0.312, -0.204]</t>
        </is>
      </c>
      <c r="F155" t="inlineStr">
        <is>
          <t>&lt; .001</t>
        </is>
      </c>
      <c r="G155" t="inlineStr">
        <is>
          <t>✓</t>
        </is>
      </c>
    </row>
    <row r="156">
      <c r="A156" t="inlineStr">
        <is>
          <t>R_V3CD_ROI</t>
        </is>
      </c>
      <c r="B156" t="n">
        <v>-0.316</v>
      </c>
      <c r="C156" t="n">
        <v>1150</v>
      </c>
      <c r="D156" t="inlineStr">
        <is>
          <t>&lt; .001</t>
        </is>
      </c>
      <c r="E156" t="inlineStr">
        <is>
          <t>[-0.367, -0.263]</t>
        </is>
      </c>
      <c r="F156" t="inlineStr">
        <is>
          <t>&lt; .001</t>
        </is>
      </c>
      <c r="G156" t="inlineStr">
        <is>
          <t>✓</t>
        </is>
      </c>
    </row>
    <row r="157">
      <c r="A157" t="inlineStr">
        <is>
          <t>R_LO3_ROI</t>
        </is>
      </c>
      <c r="B157" t="n">
        <v>-0.347</v>
      </c>
      <c r="C157" t="n">
        <v>1150</v>
      </c>
      <c r="D157" t="inlineStr">
        <is>
          <t>&lt; .001</t>
        </is>
      </c>
      <c r="E157" t="inlineStr">
        <is>
          <t>[-0.397, -0.295]</t>
        </is>
      </c>
      <c r="F157" t="inlineStr">
        <is>
          <t>&lt; .001</t>
        </is>
      </c>
      <c r="G157" t="inlineStr">
        <is>
          <t>✓</t>
        </is>
      </c>
    </row>
    <row r="158">
      <c r="A158" t="inlineStr">
        <is>
          <t>R_VMV2_ROI</t>
        </is>
      </c>
      <c r="B158" t="n">
        <v>-0.401</v>
      </c>
      <c r="C158" t="n">
        <v>1150</v>
      </c>
      <c r="D158" t="inlineStr">
        <is>
          <t>&lt; .001</t>
        </is>
      </c>
      <c r="E158" t="inlineStr">
        <is>
          <t>[-0.448, -0.351]</t>
        </is>
      </c>
      <c r="F158" t="inlineStr">
        <is>
          <t>&lt; .001</t>
        </is>
      </c>
      <c r="G158" t="inlineStr">
        <is>
          <t>✓</t>
        </is>
      </c>
    </row>
    <row r="159">
      <c r="A159" t="inlineStr">
        <is>
          <t>R_31pd_ROI</t>
        </is>
      </c>
      <c r="B159" t="n">
        <v>-0.337</v>
      </c>
      <c r="C159" t="n">
        <v>1150</v>
      </c>
      <c r="D159" t="inlineStr">
        <is>
          <t>&lt; .001</t>
        </is>
      </c>
      <c r="E159" t="inlineStr">
        <is>
          <t>[-0.387, -0.285]</t>
        </is>
      </c>
      <c r="F159" t="inlineStr">
        <is>
          <t>&lt; .001</t>
        </is>
      </c>
      <c r="G159" t="inlineStr">
        <is>
          <t>✓</t>
        </is>
      </c>
    </row>
    <row r="160">
      <c r="A160" t="inlineStr">
        <is>
          <t>R_31a_ROI</t>
        </is>
      </c>
      <c r="B160" t="n">
        <v>-0.351</v>
      </c>
      <c r="C160" t="n">
        <v>1150</v>
      </c>
      <c r="D160" t="inlineStr">
        <is>
          <t>&lt; .001</t>
        </is>
      </c>
      <c r="E160" t="inlineStr">
        <is>
          <t>[-0.401, -0.300]</t>
        </is>
      </c>
      <c r="F160" t="inlineStr">
        <is>
          <t>&lt; .001</t>
        </is>
      </c>
      <c r="G160" t="inlineStr">
        <is>
          <t>✓</t>
        </is>
      </c>
    </row>
    <row r="161">
      <c r="A161" t="inlineStr">
        <is>
          <t>R_VVC_ROI</t>
        </is>
      </c>
      <c r="B161" t="n">
        <v>-0.372</v>
      </c>
      <c r="C161" t="n">
        <v>1150</v>
      </c>
      <c r="D161" t="inlineStr">
        <is>
          <t>&lt; .001</t>
        </is>
      </c>
      <c r="E161" t="inlineStr">
        <is>
          <t>[-0.421, -0.321]</t>
        </is>
      </c>
      <c r="F161" t="inlineStr">
        <is>
          <t>&lt; .001</t>
        </is>
      </c>
      <c r="G161" t="inlineStr">
        <is>
          <t>✓</t>
        </is>
      </c>
    </row>
    <row r="162">
      <c r="A162" t="inlineStr">
        <is>
          <t>R_25_ROI</t>
        </is>
      </c>
      <c r="B162" t="n">
        <v>-0.269</v>
      </c>
      <c r="C162" t="n">
        <v>1150</v>
      </c>
      <c r="D162" t="inlineStr">
        <is>
          <t>&lt; .001</t>
        </is>
      </c>
      <c r="E162" t="inlineStr">
        <is>
          <t>[-0.322, -0.215]</t>
        </is>
      </c>
      <c r="F162" t="inlineStr">
        <is>
          <t>&lt; .001</t>
        </is>
      </c>
      <c r="G162" t="inlineStr">
        <is>
          <t>✓</t>
        </is>
      </c>
    </row>
    <row r="163">
      <c r="A163" t="inlineStr">
        <is>
          <t>R_s32_ROI</t>
        </is>
      </c>
      <c r="B163" t="n">
        <v>0.153</v>
      </c>
      <c r="C163" t="n">
        <v>1150</v>
      </c>
      <c r="D163" t="inlineStr">
        <is>
          <t>&lt; .001</t>
        </is>
      </c>
      <c r="E163" t="inlineStr">
        <is>
          <t>[0.096, 0.209]</t>
        </is>
      </c>
      <c r="F163" t="inlineStr">
        <is>
          <t>&lt; .001</t>
        </is>
      </c>
      <c r="G163" t="inlineStr">
        <is>
          <t>✓</t>
        </is>
      </c>
    </row>
    <row r="164">
      <c r="A164" t="inlineStr">
        <is>
          <t>R_pOFC_ROI</t>
        </is>
      </c>
      <c r="B164" t="n">
        <v>-0.307</v>
      </c>
      <c r="C164" t="n">
        <v>1150</v>
      </c>
      <c r="D164" t="inlineStr">
        <is>
          <t>&lt; .001</t>
        </is>
      </c>
      <c r="E164" t="inlineStr">
        <is>
          <t>[-0.358, -0.253]</t>
        </is>
      </c>
      <c r="F164" t="inlineStr">
        <is>
          <t>&lt; .001</t>
        </is>
      </c>
      <c r="G164" t="inlineStr">
        <is>
          <t>✓</t>
        </is>
      </c>
    </row>
    <row r="165">
      <c r="A165" t="inlineStr">
        <is>
          <t>R_PoI1_ROI</t>
        </is>
      </c>
      <c r="B165" t="n">
        <v>-0.255</v>
      </c>
      <c r="C165" t="n">
        <v>1150</v>
      </c>
      <c r="D165" t="inlineStr">
        <is>
          <t>&lt; .001</t>
        </is>
      </c>
      <c r="E165" t="inlineStr">
        <is>
          <t>[-0.308, -0.200]</t>
        </is>
      </c>
      <c r="F165" t="inlineStr">
        <is>
          <t>&lt; .001</t>
        </is>
      </c>
      <c r="G165" t="inlineStr">
        <is>
          <t>✓</t>
        </is>
      </c>
    </row>
    <row r="166">
      <c r="A166" t="inlineStr">
        <is>
          <t>R_Ig_ROI</t>
        </is>
      </c>
      <c r="B166" t="n">
        <v>-0.172</v>
      </c>
      <c r="C166" t="n">
        <v>1150</v>
      </c>
      <c r="D166" t="inlineStr">
        <is>
          <t>&lt; .001</t>
        </is>
      </c>
      <c r="E166" t="inlineStr">
        <is>
          <t>[-0.228, -0.116]</t>
        </is>
      </c>
      <c r="F166" t="inlineStr">
        <is>
          <t>&lt; .001</t>
        </is>
      </c>
      <c r="G166" t="inlineStr">
        <is>
          <t>✓</t>
        </is>
      </c>
    </row>
    <row r="167">
      <c r="A167" t="inlineStr">
        <is>
          <t>R_FOP5_ROI</t>
        </is>
      </c>
      <c r="B167" t="n">
        <v>-0.325</v>
      </c>
      <c r="C167" t="n">
        <v>1150</v>
      </c>
      <c r="D167" t="inlineStr">
        <is>
          <t>&lt; .001</t>
        </is>
      </c>
      <c r="E167" t="inlineStr">
        <is>
          <t>[-0.376, -0.272]</t>
        </is>
      </c>
      <c r="F167" t="inlineStr">
        <is>
          <t>&lt; .001</t>
        </is>
      </c>
      <c r="G167" t="inlineStr">
        <is>
          <t>✓</t>
        </is>
      </c>
    </row>
    <row r="168">
      <c r="A168" t="inlineStr">
        <is>
          <t>R_p10p_ROI</t>
        </is>
      </c>
      <c r="B168" t="n">
        <v>-0.256</v>
      </c>
      <c r="C168" t="n">
        <v>1150</v>
      </c>
      <c r="D168" t="inlineStr">
        <is>
          <t>&lt; .001</t>
        </is>
      </c>
      <c r="E168" t="inlineStr">
        <is>
          <t>[-0.309, -0.201]</t>
        </is>
      </c>
      <c r="F168" t="inlineStr">
        <is>
          <t>&lt; .001</t>
        </is>
      </c>
      <c r="G168" t="inlineStr">
        <is>
          <t>✓</t>
        </is>
      </c>
    </row>
    <row r="169">
      <c r="A169" t="inlineStr">
        <is>
          <t>R_p47r_ROI</t>
        </is>
      </c>
      <c r="B169" t="n">
        <v>-0.379</v>
      </c>
      <c r="C169" t="n">
        <v>1150</v>
      </c>
      <c r="D169" t="inlineStr">
        <is>
          <t>&lt; .001</t>
        </is>
      </c>
      <c r="E169" t="inlineStr">
        <is>
          <t>[-0.427, -0.328]</t>
        </is>
      </c>
      <c r="F169" t="inlineStr">
        <is>
          <t>&lt; .001</t>
        </is>
      </c>
      <c r="G169" t="inlineStr">
        <is>
          <t>✓</t>
        </is>
      </c>
    </row>
    <row r="170">
      <c r="A170" t="inlineStr">
        <is>
          <t>R_TGv_ROI</t>
        </is>
      </c>
      <c r="B170" t="n">
        <v>-0.279</v>
      </c>
      <c r="C170" t="n">
        <v>1150</v>
      </c>
      <c r="D170" t="inlineStr">
        <is>
          <t>&lt; .001</t>
        </is>
      </c>
      <c r="E170" t="inlineStr">
        <is>
          <t>[-0.331, -0.225]</t>
        </is>
      </c>
      <c r="F170" t="inlineStr">
        <is>
          <t>&lt; .001</t>
        </is>
      </c>
      <c r="G170" t="inlineStr">
        <is>
          <t>✓</t>
        </is>
      </c>
    </row>
    <row r="171">
      <c r="A171" t="inlineStr">
        <is>
          <t>R_MBelt_ROI</t>
        </is>
      </c>
      <c r="B171" t="n">
        <v>-0.368</v>
      </c>
      <c r="C171" t="n">
        <v>1150</v>
      </c>
      <c r="D171" t="inlineStr">
        <is>
          <t>&lt; .001</t>
        </is>
      </c>
      <c r="E171" t="inlineStr">
        <is>
          <t>[-0.417, -0.317]</t>
        </is>
      </c>
      <c r="F171" t="inlineStr">
        <is>
          <t>&lt; .001</t>
        </is>
      </c>
      <c r="G171" t="inlineStr">
        <is>
          <t>✓</t>
        </is>
      </c>
    </row>
    <row r="172">
      <c r="A172" t="inlineStr">
        <is>
          <t>R_LBelt_ROI</t>
        </is>
      </c>
      <c r="B172" t="n">
        <v>-0.362</v>
      </c>
      <c r="C172" t="n">
        <v>1150</v>
      </c>
      <c r="D172" t="inlineStr">
        <is>
          <t>&lt; .001</t>
        </is>
      </c>
      <c r="E172" t="inlineStr">
        <is>
          <t>[-0.411, -0.311]</t>
        </is>
      </c>
      <c r="F172" t="inlineStr">
        <is>
          <t>&lt; .001</t>
        </is>
      </c>
      <c r="G172" t="inlineStr">
        <is>
          <t>✓</t>
        </is>
      </c>
    </row>
    <row r="173">
      <c r="A173" t="inlineStr">
        <is>
          <t>R_A4_ROI</t>
        </is>
      </c>
      <c r="B173" t="n">
        <v>-0.391</v>
      </c>
      <c r="C173" t="n">
        <v>1150</v>
      </c>
      <c r="D173" t="inlineStr">
        <is>
          <t>&lt; .001</t>
        </is>
      </c>
      <c r="E173" t="inlineStr">
        <is>
          <t>[-0.439, -0.341]</t>
        </is>
      </c>
      <c r="F173" t="inlineStr">
        <is>
          <t>&lt; .001</t>
        </is>
      </c>
      <c r="G173" t="inlineStr">
        <is>
          <t>✓</t>
        </is>
      </c>
    </row>
    <row r="174">
      <c r="A174" t="inlineStr">
        <is>
          <t>R_STSva_ROI</t>
        </is>
      </c>
      <c r="B174" t="n">
        <v>-0.328</v>
      </c>
      <c r="C174" t="n">
        <v>1150</v>
      </c>
      <c r="D174" t="inlineStr">
        <is>
          <t>&lt; .001</t>
        </is>
      </c>
      <c r="E174" t="inlineStr">
        <is>
          <t>[-0.379, -0.275]</t>
        </is>
      </c>
      <c r="F174" t="inlineStr">
        <is>
          <t>&lt; .001</t>
        </is>
      </c>
      <c r="G174" t="inlineStr">
        <is>
          <t>✓</t>
        </is>
      </c>
    </row>
    <row r="175">
      <c r="A175" t="inlineStr">
        <is>
          <t>R_TE1m_ROI</t>
        </is>
      </c>
      <c r="B175" t="n">
        <v>-0.316</v>
      </c>
      <c r="C175" t="n">
        <v>1150</v>
      </c>
      <c r="D175" t="inlineStr">
        <is>
          <t>&lt; .001</t>
        </is>
      </c>
      <c r="E175" t="inlineStr">
        <is>
          <t>[-0.367, -0.263]</t>
        </is>
      </c>
      <c r="F175" t="inlineStr">
        <is>
          <t>&lt; .001</t>
        </is>
      </c>
      <c r="G175" t="inlineStr">
        <is>
          <t>✓</t>
        </is>
      </c>
    </row>
    <row r="176">
      <c r="A176" t="inlineStr">
        <is>
          <t>R_PI_ROI</t>
        </is>
      </c>
      <c r="B176" t="n">
        <v>-0.316</v>
      </c>
      <c r="C176" t="n">
        <v>1150</v>
      </c>
      <c r="D176" t="inlineStr">
        <is>
          <t>&lt; .001</t>
        </is>
      </c>
      <c r="E176" t="inlineStr">
        <is>
          <t>[-0.367, -0.263]</t>
        </is>
      </c>
      <c r="F176" t="inlineStr">
        <is>
          <t>&lt; .001</t>
        </is>
      </c>
      <c r="G176" t="inlineStr">
        <is>
          <t>✓</t>
        </is>
      </c>
    </row>
    <row r="177">
      <c r="A177" t="inlineStr">
        <is>
          <t>R_a32pr_ROI</t>
        </is>
      </c>
      <c r="B177" t="n">
        <v>-0.393</v>
      </c>
      <c r="C177" t="n">
        <v>1150</v>
      </c>
      <c r="D177" t="inlineStr">
        <is>
          <t>&lt; .001</t>
        </is>
      </c>
      <c r="E177" t="inlineStr">
        <is>
          <t>[-0.440, -0.343]</t>
        </is>
      </c>
      <c r="F177" t="inlineStr">
        <is>
          <t>&lt; .001</t>
        </is>
      </c>
      <c r="G177" t="inlineStr">
        <is>
          <t>✓</t>
        </is>
      </c>
    </row>
    <row r="178">
      <c r="A178" t="inlineStr">
        <is>
          <t>R_p24_ROI</t>
        </is>
      </c>
      <c r="B178" t="n">
        <v>-0.145</v>
      </c>
      <c r="C178" t="n">
        <v>1150</v>
      </c>
      <c r="D178" t="inlineStr">
        <is>
          <t>&lt; .001</t>
        </is>
      </c>
      <c r="E178" t="inlineStr">
        <is>
          <t>[-0.201, -0.088]</t>
        </is>
      </c>
      <c r="F178" t="inlineStr">
        <is>
          <t>&lt; .001</t>
        </is>
      </c>
      <c r="G178" t="inlineStr">
        <is>
          <t>✓</t>
        </is>
      </c>
    </row>
    <row r="179">
      <c r="A179" t="inlineStr">
        <is>
          <t>L_V1_ROI</t>
        </is>
      </c>
      <c r="B179" t="n">
        <v>-0.474</v>
      </c>
      <c r="C179" t="n">
        <v>1150</v>
      </c>
      <c r="D179" t="inlineStr">
        <is>
          <t>&lt; .001</t>
        </is>
      </c>
      <c r="E179" t="inlineStr">
        <is>
          <t>[-0.517, -0.428]</t>
        </is>
      </c>
      <c r="F179" t="inlineStr">
        <is>
          <t>&lt; .001</t>
        </is>
      </c>
      <c r="G179" t="inlineStr">
        <is>
          <t>✓</t>
        </is>
      </c>
    </row>
    <row r="180">
      <c r="A180" t="inlineStr">
        <is>
          <t>L_MST_ROI</t>
        </is>
      </c>
      <c r="B180" t="n">
        <v>-0.287</v>
      </c>
      <c r="C180" t="n">
        <v>1150</v>
      </c>
      <c r="D180" t="inlineStr">
        <is>
          <t>&lt; .001</t>
        </is>
      </c>
      <c r="E180" t="inlineStr">
        <is>
          <t>[-0.339, -0.233]</t>
        </is>
      </c>
      <c r="F180" t="inlineStr">
        <is>
          <t>&lt; .001</t>
        </is>
      </c>
      <c r="G180" t="inlineStr">
        <is>
          <t>✓</t>
        </is>
      </c>
    </row>
    <row r="181">
      <c r="A181" t="inlineStr">
        <is>
          <t>L_V6_ROI</t>
        </is>
      </c>
      <c r="B181" t="n">
        <v>-0.361</v>
      </c>
      <c r="C181" t="n">
        <v>1150</v>
      </c>
      <c r="D181" t="inlineStr">
        <is>
          <t>&lt; .001</t>
        </is>
      </c>
      <c r="E181" t="inlineStr">
        <is>
          <t>[-0.410, -0.310]</t>
        </is>
      </c>
      <c r="F181" t="inlineStr">
        <is>
          <t>&lt; .001</t>
        </is>
      </c>
      <c r="G181" t="inlineStr">
        <is>
          <t>✓</t>
        </is>
      </c>
    </row>
    <row r="182">
      <c r="A182" t="inlineStr">
        <is>
          <t>L_V2_ROI</t>
        </is>
      </c>
      <c r="B182" t="n">
        <v>-0.413</v>
      </c>
      <c r="C182" t="n">
        <v>1150</v>
      </c>
      <c r="D182" t="inlineStr">
        <is>
          <t>&lt; .001</t>
        </is>
      </c>
      <c r="E182" t="inlineStr">
        <is>
          <t>[-0.459, -0.364]</t>
        </is>
      </c>
      <c r="F182" t="inlineStr">
        <is>
          <t>&lt; .001</t>
        </is>
      </c>
      <c r="G182" t="inlineStr">
        <is>
          <t>✓</t>
        </is>
      </c>
    </row>
    <row r="183">
      <c r="A183" t="inlineStr">
        <is>
          <t>L_V3_ROI</t>
        </is>
      </c>
      <c r="B183" t="n">
        <v>-0.351</v>
      </c>
      <c r="C183" t="n">
        <v>1150</v>
      </c>
      <c r="D183" t="inlineStr">
        <is>
          <t>&lt; .001</t>
        </is>
      </c>
      <c r="E183" t="inlineStr">
        <is>
          <t>[-0.400, -0.299]</t>
        </is>
      </c>
      <c r="F183" t="inlineStr">
        <is>
          <t>&lt; .001</t>
        </is>
      </c>
      <c r="G183" t="inlineStr">
        <is>
          <t>✓</t>
        </is>
      </c>
    </row>
    <row r="184">
      <c r="A184" t="inlineStr">
        <is>
          <t>L_V4_ROI</t>
        </is>
      </c>
      <c r="B184" t="n">
        <v>-0.384</v>
      </c>
      <c r="C184" t="n">
        <v>1150</v>
      </c>
      <c r="D184" t="inlineStr">
        <is>
          <t>&lt; .001</t>
        </is>
      </c>
      <c r="E184" t="inlineStr">
        <is>
          <t>[-0.432, -0.333]</t>
        </is>
      </c>
      <c r="F184" t="inlineStr">
        <is>
          <t>&lt; .001</t>
        </is>
      </c>
      <c r="G184" t="inlineStr">
        <is>
          <t>✓</t>
        </is>
      </c>
    </row>
    <row r="185">
      <c r="A185" t="inlineStr">
        <is>
          <t>L_V8_ROI</t>
        </is>
      </c>
      <c r="B185" t="n">
        <v>-0.231</v>
      </c>
      <c r="C185" t="n">
        <v>1150</v>
      </c>
      <c r="D185" t="inlineStr">
        <is>
          <t>&lt; .001</t>
        </is>
      </c>
      <c r="E185" t="inlineStr">
        <is>
          <t>[-0.285, -0.175]</t>
        </is>
      </c>
      <c r="F185" t="inlineStr">
        <is>
          <t>&lt; .001</t>
        </is>
      </c>
      <c r="G185" t="inlineStr">
        <is>
          <t>✓</t>
        </is>
      </c>
    </row>
    <row r="186">
      <c r="A186" t="inlineStr">
        <is>
          <t>L_4_ROI</t>
        </is>
      </c>
      <c r="B186" t="n">
        <v>-0.512</v>
      </c>
      <c r="C186" t="n">
        <v>1150</v>
      </c>
      <c r="D186" t="inlineStr">
        <is>
          <t>&lt; .001</t>
        </is>
      </c>
      <c r="E186" t="inlineStr">
        <is>
          <t>[-0.553, -0.468]</t>
        </is>
      </c>
      <c r="F186" t="inlineStr">
        <is>
          <t>&lt; .001</t>
        </is>
      </c>
      <c r="G186" t="inlineStr">
        <is>
          <t>✓</t>
        </is>
      </c>
    </row>
    <row r="187">
      <c r="A187" t="inlineStr">
        <is>
          <t>L_3b_ROI</t>
        </is>
      </c>
      <c r="B187" t="n">
        <v>-0.385</v>
      </c>
      <c r="C187" t="n">
        <v>1150</v>
      </c>
      <c r="D187" t="inlineStr">
        <is>
          <t>&lt; .001</t>
        </is>
      </c>
      <c r="E187" t="inlineStr">
        <is>
          <t>[-0.433, -0.335]</t>
        </is>
      </c>
      <c r="F187" t="inlineStr">
        <is>
          <t>&lt; .001</t>
        </is>
      </c>
      <c r="G187" t="inlineStr">
        <is>
          <t>✓</t>
        </is>
      </c>
    </row>
    <row r="188">
      <c r="A188" t="inlineStr">
        <is>
          <t>L_FEF_ROI</t>
        </is>
      </c>
      <c r="B188" t="n">
        <v>-0.42</v>
      </c>
      <c r="C188" t="n">
        <v>1150</v>
      </c>
      <c r="D188" t="inlineStr">
        <is>
          <t>&lt; .001</t>
        </is>
      </c>
      <c r="E188" t="inlineStr">
        <is>
          <t>[-0.467, -0.371]</t>
        </is>
      </c>
      <c r="F188" t="inlineStr">
        <is>
          <t>&lt; .001</t>
        </is>
      </c>
      <c r="G188" t="inlineStr">
        <is>
          <t>✓</t>
        </is>
      </c>
    </row>
    <row r="189">
      <c r="A189" t="inlineStr">
        <is>
          <t>L_PEF_ROI</t>
        </is>
      </c>
      <c r="B189" t="n">
        <v>-0.243</v>
      </c>
      <c r="C189" t="n">
        <v>1150</v>
      </c>
      <c r="D189" t="inlineStr">
        <is>
          <t>&lt; .001</t>
        </is>
      </c>
      <c r="E189" t="inlineStr">
        <is>
          <t>[-0.296, -0.188]</t>
        </is>
      </c>
      <c r="F189" t="inlineStr">
        <is>
          <t>&lt; .001</t>
        </is>
      </c>
      <c r="G189" t="inlineStr">
        <is>
          <t>✓</t>
        </is>
      </c>
    </row>
    <row r="190">
      <c r="A190" t="inlineStr">
        <is>
          <t>L_55b_ROI</t>
        </is>
      </c>
      <c r="B190" t="n">
        <v>-0.385</v>
      </c>
      <c r="C190" t="n">
        <v>1150</v>
      </c>
      <c r="D190" t="inlineStr">
        <is>
          <t>&lt; .001</t>
        </is>
      </c>
      <c r="E190" t="inlineStr">
        <is>
          <t>[-0.433, -0.335]</t>
        </is>
      </c>
      <c r="F190" t="inlineStr">
        <is>
          <t>&lt; .001</t>
        </is>
      </c>
      <c r="G190" t="inlineStr">
        <is>
          <t>✓</t>
        </is>
      </c>
    </row>
    <row r="191">
      <c r="A191" t="inlineStr">
        <is>
          <t>L_V3A_ROI</t>
        </is>
      </c>
      <c r="B191" t="n">
        <v>-0.342</v>
      </c>
      <c r="C191" t="n">
        <v>1150</v>
      </c>
      <c r="D191" t="inlineStr">
        <is>
          <t>&lt; .001</t>
        </is>
      </c>
      <c r="E191" t="inlineStr">
        <is>
          <t>[-0.393, -0.290]</t>
        </is>
      </c>
      <c r="F191" t="inlineStr">
        <is>
          <t>&lt; .001</t>
        </is>
      </c>
      <c r="G191" t="inlineStr">
        <is>
          <t>✓</t>
        </is>
      </c>
    </row>
    <row r="192">
      <c r="A192" t="inlineStr">
        <is>
          <t>L_RSC_ROI</t>
        </is>
      </c>
      <c r="B192" t="n">
        <v>-0.446</v>
      </c>
      <c r="C192" t="n">
        <v>1150</v>
      </c>
      <c r="D192" t="inlineStr">
        <is>
          <t>&lt; .001</t>
        </is>
      </c>
      <c r="E192" t="inlineStr">
        <is>
          <t>[-0.491, -0.398]</t>
        </is>
      </c>
      <c r="F192" t="inlineStr">
        <is>
          <t>&lt; .001</t>
        </is>
      </c>
      <c r="G192" t="inlineStr">
        <is>
          <t>✓</t>
        </is>
      </c>
    </row>
    <row r="193">
      <c r="A193" t="inlineStr">
        <is>
          <t>L_POS2_ROI</t>
        </is>
      </c>
      <c r="B193" t="n">
        <v>-0.305</v>
      </c>
      <c r="C193" t="n">
        <v>1150</v>
      </c>
      <c r="D193" t="inlineStr">
        <is>
          <t>&lt; .001</t>
        </is>
      </c>
      <c r="E193" t="inlineStr">
        <is>
          <t>[-0.357, -0.252]</t>
        </is>
      </c>
      <c r="F193" t="inlineStr">
        <is>
          <t>&lt; .001</t>
        </is>
      </c>
      <c r="G193" t="inlineStr">
        <is>
          <t>✓</t>
        </is>
      </c>
    </row>
    <row r="194">
      <c r="A194" t="inlineStr">
        <is>
          <t>L_V7_ROI</t>
        </is>
      </c>
      <c r="B194" t="n">
        <v>-0.218</v>
      </c>
      <c r="C194" t="n">
        <v>1150</v>
      </c>
      <c r="D194" t="inlineStr">
        <is>
          <t>&lt; .001</t>
        </is>
      </c>
      <c r="E194" t="inlineStr">
        <is>
          <t>[-0.273, -0.162]</t>
        </is>
      </c>
      <c r="F194" t="inlineStr">
        <is>
          <t>&lt; .001</t>
        </is>
      </c>
      <c r="G194" t="inlineStr">
        <is>
          <t>✓</t>
        </is>
      </c>
    </row>
    <row r="195">
      <c r="A195" t="inlineStr">
        <is>
          <t>L_IPS1_ROI</t>
        </is>
      </c>
      <c r="B195" t="n">
        <v>-0.272</v>
      </c>
      <c r="C195" t="n">
        <v>1150</v>
      </c>
      <c r="D195" t="inlineStr">
        <is>
          <t>&lt; .001</t>
        </is>
      </c>
      <c r="E195" t="inlineStr">
        <is>
          <t>[-0.324, -0.217]</t>
        </is>
      </c>
      <c r="F195" t="inlineStr">
        <is>
          <t>&lt; .001</t>
        </is>
      </c>
      <c r="G195" t="inlineStr">
        <is>
          <t>✓</t>
        </is>
      </c>
    </row>
    <row r="196">
      <c r="A196" t="inlineStr">
        <is>
          <t>L_FFC_ROI</t>
        </is>
      </c>
      <c r="B196" t="n">
        <v>-0.342</v>
      </c>
      <c r="C196" t="n">
        <v>1150</v>
      </c>
      <c r="D196" t="inlineStr">
        <is>
          <t>&lt; .001</t>
        </is>
      </c>
      <c r="E196" t="inlineStr">
        <is>
          <t>[-0.392, -0.290]</t>
        </is>
      </c>
      <c r="F196" t="inlineStr">
        <is>
          <t>&lt; .001</t>
        </is>
      </c>
      <c r="G196" t="inlineStr">
        <is>
          <t>✓</t>
        </is>
      </c>
    </row>
    <row r="197">
      <c r="A197" t="inlineStr">
        <is>
          <t>L_V3B_ROI</t>
        </is>
      </c>
      <c r="B197" t="n">
        <v>-0.327</v>
      </c>
      <c r="C197" t="n">
        <v>1150</v>
      </c>
      <c r="D197" t="inlineStr">
        <is>
          <t>&lt; .001</t>
        </is>
      </c>
      <c r="E197" t="inlineStr">
        <is>
          <t>[-0.378, -0.275]</t>
        </is>
      </c>
      <c r="F197" t="inlineStr">
        <is>
          <t>&lt; .001</t>
        </is>
      </c>
      <c r="G197" t="inlineStr">
        <is>
          <t>✓</t>
        </is>
      </c>
    </row>
    <row r="198">
      <c r="A198" t="inlineStr">
        <is>
          <t>L_LO1_ROI</t>
        </is>
      </c>
      <c r="B198" t="n">
        <v>-0.253</v>
      </c>
      <c r="C198" t="n">
        <v>1150</v>
      </c>
      <c r="D198" t="inlineStr">
        <is>
          <t>&lt; .001</t>
        </is>
      </c>
      <c r="E198" t="inlineStr">
        <is>
          <t>[-0.306, -0.198]</t>
        </is>
      </c>
      <c r="F198" t="inlineStr">
        <is>
          <t>&lt; .001</t>
        </is>
      </c>
      <c r="G198" t="inlineStr">
        <is>
          <t>✓</t>
        </is>
      </c>
    </row>
    <row r="199">
      <c r="A199" t="inlineStr">
        <is>
          <t>L_LO2_ROI</t>
        </is>
      </c>
      <c r="B199" t="n">
        <v>-0.211</v>
      </c>
      <c r="C199" t="n">
        <v>1150</v>
      </c>
      <c r="D199" t="inlineStr">
        <is>
          <t>&lt; .001</t>
        </is>
      </c>
      <c r="E199" t="inlineStr">
        <is>
          <t>[-0.266, -0.155]</t>
        </is>
      </c>
      <c r="F199" t="inlineStr">
        <is>
          <t>&lt; .001</t>
        </is>
      </c>
      <c r="G199" t="inlineStr">
        <is>
          <t>✓</t>
        </is>
      </c>
    </row>
    <row r="200">
      <c r="A200" t="inlineStr">
        <is>
          <t>L_PIT_ROI</t>
        </is>
      </c>
      <c r="B200" t="n">
        <v>-0.172</v>
      </c>
      <c r="C200" t="n">
        <v>1150</v>
      </c>
      <c r="D200" t="inlineStr">
        <is>
          <t>&lt; .001</t>
        </is>
      </c>
      <c r="E200" t="inlineStr">
        <is>
          <t>[-0.227, -0.115]</t>
        </is>
      </c>
      <c r="F200" t="inlineStr">
        <is>
          <t>&lt; .001</t>
        </is>
      </c>
      <c r="G200" t="inlineStr">
        <is>
          <t>✓</t>
        </is>
      </c>
    </row>
    <row r="201">
      <c r="A201" t="inlineStr">
        <is>
          <t>L_MT_ROI</t>
        </is>
      </c>
      <c r="B201" t="n">
        <v>-0.284</v>
      </c>
      <c r="C201" t="n">
        <v>1150</v>
      </c>
      <c r="D201" t="inlineStr">
        <is>
          <t>&lt; .001</t>
        </is>
      </c>
      <c r="E201" t="inlineStr">
        <is>
          <t>[-0.336, -0.230]</t>
        </is>
      </c>
      <c r="F201" t="inlineStr">
        <is>
          <t>&lt; .001</t>
        </is>
      </c>
      <c r="G201" t="inlineStr">
        <is>
          <t>✓</t>
        </is>
      </c>
    </row>
    <row r="202">
      <c r="A202" t="inlineStr">
        <is>
          <t>L_A1_ROI</t>
        </is>
      </c>
      <c r="B202" t="n">
        <v>-0.321</v>
      </c>
      <c r="C202" t="n">
        <v>1150</v>
      </c>
      <c r="D202" t="inlineStr">
        <is>
          <t>&lt; .001</t>
        </is>
      </c>
      <c r="E202" t="inlineStr">
        <is>
          <t>[-0.372, -0.268]</t>
        </is>
      </c>
      <c r="F202" t="inlineStr">
        <is>
          <t>&lt; .001</t>
        </is>
      </c>
      <c r="G202" t="inlineStr">
        <is>
          <t>✓</t>
        </is>
      </c>
    </row>
    <row r="203">
      <c r="A203" t="inlineStr">
        <is>
          <t>L_PSL_ROI</t>
        </is>
      </c>
      <c r="B203" t="n">
        <v>-0.273</v>
      </c>
      <c r="C203" t="n">
        <v>1150</v>
      </c>
      <c r="D203" t="inlineStr">
        <is>
          <t>&lt; .001</t>
        </is>
      </c>
      <c r="E203" t="inlineStr">
        <is>
          <t>[-0.325, -0.218]</t>
        </is>
      </c>
      <c r="F203" t="inlineStr">
        <is>
          <t>&lt; .001</t>
        </is>
      </c>
      <c r="G203" t="inlineStr">
        <is>
          <t>✓</t>
        </is>
      </c>
    </row>
    <row r="204">
      <c r="A204" t="inlineStr">
        <is>
          <t>L_SFL_ROI</t>
        </is>
      </c>
      <c r="B204" t="n">
        <v>-0.387</v>
      </c>
      <c r="C204" t="n">
        <v>1150</v>
      </c>
      <c r="D204" t="inlineStr">
        <is>
          <t>&lt; .001</t>
        </is>
      </c>
      <c r="E204" t="inlineStr">
        <is>
          <t>[-0.435, -0.337]</t>
        </is>
      </c>
      <c r="F204" t="inlineStr">
        <is>
          <t>&lt; .001</t>
        </is>
      </c>
      <c r="G204" t="inlineStr">
        <is>
          <t>✓</t>
        </is>
      </c>
    </row>
    <row r="205">
      <c r="A205" t="inlineStr">
        <is>
          <t>L_PCV_ROI</t>
        </is>
      </c>
      <c r="B205" t="n">
        <v>-0.319</v>
      </c>
      <c r="C205" t="n">
        <v>1150</v>
      </c>
      <c r="D205" t="inlineStr">
        <is>
          <t>&lt; .001</t>
        </is>
      </c>
      <c r="E205" t="inlineStr">
        <is>
          <t>[-0.370, -0.266]</t>
        </is>
      </c>
      <c r="F205" t="inlineStr">
        <is>
          <t>&lt; .001</t>
        </is>
      </c>
      <c r="G205" t="inlineStr">
        <is>
          <t>✓</t>
        </is>
      </c>
    </row>
    <row r="206">
      <c r="A206" t="inlineStr">
        <is>
          <t>L_STV_ROI</t>
        </is>
      </c>
      <c r="B206" t="n">
        <v>-0.271</v>
      </c>
      <c r="C206" t="n">
        <v>1150</v>
      </c>
      <c r="D206" t="inlineStr">
        <is>
          <t>&lt; .001</t>
        </is>
      </c>
      <c r="E206" t="inlineStr">
        <is>
          <t>[-0.324, -0.217]</t>
        </is>
      </c>
      <c r="F206" t="inlineStr">
        <is>
          <t>&lt; .001</t>
        </is>
      </c>
      <c r="G206" t="inlineStr">
        <is>
          <t>✓</t>
        </is>
      </c>
    </row>
    <row r="207">
      <c r="A207" t="inlineStr">
        <is>
          <t>L_7Pm_ROI</t>
        </is>
      </c>
      <c r="B207" t="n">
        <v>-0.185</v>
      </c>
      <c r="C207" t="n">
        <v>1150</v>
      </c>
      <c r="D207" t="inlineStr">
        <is>
          <t>&lt; .001</t>
        </is>
      </c>
      <c r="E207" t="inlineStr">
        <is>
          <t>[-0.240, -0.129]</t>
        </is>
      </c>
      <c r="F207" t="inlineStr">
        <is>
          <t>&lt; .001</t>
        </is>
      </c>
      <c r="G207" t="inlineStr">
        <is>
          <t>✓</t>
        </is>
      </c>
    </row>
    <row r="208">
      <c r="A208" t="inlineStr">
        <is>
          <t>L_7m_ROI</t>
        </is>
      </c>
      <c r="B208" t="n">
        <v>-0.346</v>
      </c>
      <c r="C208" t="n">
        <v>1150</v>
      </c>
      <c r="D208" t="inlineStr">
        <is>
          <t>&lt; .001</t>
        </is>
      </c>
      <c r="E208" t="inlineStr">
        <is>
          <t>[-0.396, -0.294]</t>
        </is>
      </c>
      <c r="F208" t="inlineStr">
        <is>
          <t>&lt; .001</t>
        </is>
      </c>
      <c r="G208" t="inlineStr">
        <is>
          <t>✓</t>
        </is>
      </c>
    </row>
    <row r="209">
      <c r="A209" t="inlineStr">
        <is>
          <t>L_POS1_ROI</t>
        </is>
      </c>
      <c r="B209" t="n">
        <v>-0.368</v>
      </c>
      <c r="C209" t="n">
        <v>1150</v>
      </c>
      <c r="D209" t="inlineStr">
        <is>
          <t>&lt; .001</t>
        </is>
      </c>
      <c r="E209" t="inlineStr">
        <is>
          <t>[-0.417, -0.317]</t>
        </is>
      </c>
      <c r="F209" t="inlineStr">
        <is>
          <t>&lt; .001</t>
        </is>
      </c>
      <c r="G209" t="inlineStr">
        <is>
          <t>✓</t>
        </is>
      </c>
    </row>
    <row r="210">
      <c r="A210" t="inlineStr">
        <is>
          <t>L_23d_ROI</t>
        </is>
      </c>
      <c r="B210" t="n">
        <v>-0.353</v>
      </c>
      <c r="C210" t="n">
        <v>1150</v>
      </c>
      <c r="D210" t="inlineStr">
        <is>
          <t>&lt; .001</t>
        </is>
      </c>
      <c r="E210" t="inlineStr">
        <is>
          <t>[-0.403, -0.301]</t>
        </is>
      </c>
      <c r="F210" t="inlineStr">
        <is>
          <t>&lt; .001</t>
        </is>
      </c>
      <c r="G210" t="inlineStr">
        <is>
          <t>✓</t>
        </is>
      </c>
    </row>
    <row r="211">
      <c r="A211" t="inlineStr">
        <is>
          <t>L_v23ab_ROI</t>
        </is>
      </c>
      <c r="B211" t="n">
        <v>-0.257</v>
      </c>
      <c r="C211" t="n">
        <v>1150</v>
      </c>
      <c r="D211" t="inlineStr">
        <is>
          <t>&lt; .001</t>
        </is>
      </c>
      <c r="E211" t="inlineStr">
        <is>
          <t>[-0.311, -0.203]</t>
        </is>
      </c>
      <c r="F211" t="inlineStr">
        <is>
          <t>&lt; .001</t>
        </is>
      </c>
      <c r="G211" t="inlineStr">
        <is>
          <t>✓</t>
        </is>
      </c>
    </row>
    <row r="212">
      <c r="A212" t="inlineStr">
        <is>
          <t>L_d23ab_ROI</t>
        </is>
      </c>
      <c r="B212" t="n">
        <v>-0.443</v>
      </c>
      <c r="C212" t="n">
        <v>1150</v>
      </c>
      <c r="D212" t="inlineStr">
        <is>
          <t>&lt; .001</t>
        </is>
      </c>
      <c r="E212" t="inlineStr">
        <is>
          <t>[-0.488, -0.396]</t>
        </is>
      </c>
      <c r="F212" t="inlineStr">
        <is>
          <t>&lt; .001</t>
        </is>
      </c>
      <c r="G212" t="inlineStr">
        <is>
          <t>✓</t>
        </is>
      </c>
    </row>
    <row r="213">
      <c r="A213" t="inlineStr">
        <is>
          <t>L_31pv_ROI</t>
        </is>
      </c>
      <c r="B213" t="n">
        <v>-0.406</v>
      </c>
      <c r="C213" t="n">
        <v>1150</v>
      </c>
      <c r="D213" t="inlineStr">
        <is>
          <t>&lt; .001</t>
        </is>
      </c>
      <c r="E213" t="inlineStr">
        <is>
          <t>[-0.453, -0.356]</t>
        </is>
      </c>
      <c r="F213" t="inlineStr">
        <is>
          <t>&lt; .001</t>
        </is>
      </c>
      <c r="G213" t="inlineStr">
        <is>
          <t>✓</t>
        </is>
      </c>
    </row>
    <row r="214">
      <c r="A214" t="inlineStr">
        <is>
          <t>L_5m_ROI</t>
        </is>
      </c>
      <c r="B214" t="n">
        <v>-0.354</v>
      </c>
      <c r="C214" t="n">
        <v>1150</v>
      </c>
      <c r="D214" t="inlineStr">
        <is>
          <t>&lt; .001</t>
        </is>
      </c>
      <c r="E214" t="inlineStr">
        <is>
          <t>[-0.403, -0.302]</t>
        </is>
      </c>
      <c r="F214" t="inlineStr">
        <is>
          <t>&lt; .001</t>
        </is>
      </c>
      <c r="G214" t="inlineStr">
        <is>
          <t>✓</t>
        </is>
      </c>
    </row>
    <row r="215">
      <c r="A215" t="inlineStr">
        <is>
          <t>L_5mv_ROI</t>
        </is>
      </c>
      <c r="B215" t="n">
        <v>-0.274</v>
      </c>
      <c r="C215" t="n">
        <v>1150</v>
      </c>
      <c r="D215" t="inlineStr">
        <is>
          <t>&lt; .001</t>
        </is>
      </c>
      <c r="E215" t="inlineStr">
        <is>
          <t>[-0.326, -0.219]</t>
        </is>
      </c>
      <c r="F215" t="inlineStr">
        <is>
          <t>&lt; .001</t>
        </is>
      </c>
      <c r="G215" t="inlineStr">
        <is>
          <t>✓</t>
        </is>
      </c>
    </row>
    <row r="216">
      <c r="A216" t="inlineStr">
        <is>
          <t>L_23c_ROI</t>
        </is>
      </c>
      <c r="B216" t="n">
        <v>-0.51</v>
      </c>
      <c r="C216" t="n">
        <v>1150</v>
      </c>
      <c r="D216" t="inlineStr">
        <is>
          <t>&lt; .001</t>
        </is>
      </c>
      <c r="E216" t="inlineStr">
        <is>
          <t>[-0.552, -0.466]</t>
        </is>
      </c>
      <c r="F216" t="inlineStr">
        <is>
          <t>&lt; .001</t>
        </is>
      </c>
      <c r="G216" t="inlineStr">
        <is>
          <t>✓</t>
        </is>
      </c>
    </row>
    <row r="217">
      <c r="A217" t="inlineStr">
        <is>
          <t>L_5L_ROI</t>
        </is>
      </c>
      <c r="B217" t="n">
        <v>-0.239</v>
      </c>
      <c r="C217" t="n">
        <v>1150</v>
      </c>
      <c r="D217" t="inlineStr">
        <is>
          <t>&lt; .001</t>
        </is>
      </c>
      <c r="E217" t="inlineStr">
        <is>
          <t>[-0.293, -0.184]</t>
        </is>
      </c>
      <c r="F217" t="inlineStr">
        <is>
          <t>&lt; .001</t>
        </is>
      </c>
      <c r="G217" t="inlineStr">
        <is>
          <t>✓</t>
        </is>
      </c>
    </row>
    <row r="218">
      <c r="A218" t="inlineStr">
        <is>
          <t>L_24dd_ROI</t>
        </is>
      </c>
      <c r="B218" t="n">
        <v>-0.347</v>
      </c>
      <c r="C218" t="n">
        <v>1150</v>
      </c>
      <c r="D218" t="inlineStr">
        <is>
          <t>&lt; .001</t>
        </is>
      </c>
      <c r="E218" t="inlineStr">
        <is>
          <t>[-0.397, -0.295]</t>
        </is>
      </c>
      <c r="F218" t="inlineStr">
        <is>
          <t>&lt; .001</t>
        </is>
      </c>
      <c r="G218" t="inlineStr">
        <is>
          <t>✓</t>
        </is>
      </c>
    </row>
    <row r="219">
      <c r="A219" t="inlineStr">
        <is>
          <t>L_24dv_ROI</t>
        </is>
      </c>
      <c r="B219" t="n">
        <v>-0.41</v>
      </c>
      <c r="C219" t="n">
        <v>1150</v>
      </c>
      <c r="D219" t="inlineStr">
        <is>
          <t>&lt; .001</t>
        </is>
      </c>
      <c r="E219" t="inlineStr">
        <is>
          <t>[-0.457, -0.361]</t>
        </is>
      </c>
      <c r="F219" t="inlineStr">
        <is>
          <t>&lt; .001</t>
        </is>
      </c>
      <c r="G219" t="inlineStr">
        <is>
          <t>✓</t>
        </is>
      </c>
    </row>
    <row r="220">
      <c r="A220" t="inlineStr">
        <is>
          <t>L_7AL_ROI</t>
        </is>
      </c>
      <c r="B220" t="n">
        <v>-0.336</v>
      </c>
      <c r="C220" t="n">
        <v>1150</v>
      </c>
      <c r="D220" t="inlineStr">
        <is>
          <t>&lt; .001</t>
        </is>
      </c>
      <c r="E220" t="inlineStr">
        <is>
          <t>[-0.386, -0.284]</t>
        </is>
      </c>
      <c r="F220" t="inlineStr">
        <is>
          <t>&lt; .001</t>
        </is>
      </c>
      <c r="G220" t="inlineStr">
        <is>
          <t>✓</t>
        </is>
      </c>
    </row>
    <row r="221">
      <c r="A221" t="inlineStr">
        <is>
          <t>L_SCEF_ROI</t>
        </is>
      </c>
      <c r="B221" t="n">
        <v>-0.424</v>
      </c>
      <c r="C221" t="n">
        <v>1150</v>
      </c>
      <c r="D221" t="inlineStr">
        <is>
          <t>&lt; .001</t>
        </is>
      </c>
      <c r="E221" t="inlineStr">
        <is>
          <t>[-0.470, -0.375]</t>
        </is>
      </c>
      <c r="F221" t="inlineStr">
        <is>
          <t>&lt; .001</t>
        </is>
      </c>
      <c r="G221" t="inlineStr">
        <is>
          <t>✓</t>
        </is>
      </c>
    </row>
    <row r="222">
      <c r="A222" t="inlineStr">
        <is>
          <t>L_6ma_ROI</t>
        </is>
      </c>
      <c r="B222" t="n">
        <v>-0.402</v>
      </c>
      <c r="C222" t="n">
        <v>1150</v>
      </c>
      <c r="D222" t="inlineStr">
        <is>
          <t>&lt; .001</t>
        </is>
      </c>
      <c r="E222" t="inlineStr">
        <is>
          <t>[-0.449, -0.352]</t>
        </is>
      </c>
      <c r="F222" t="inlineStr">
        <is>
          <t>&lt; .001</t>
        </is>
      </c>
      <c r="G222" t="inlineStr">
        <is>
          <t>✓</t>
        </is>
      </c>
    </row>
    <row r="223">
      <c r="A223" t="inlineStr">
        <is>
          <t>L_7Am_ROI</t>
        </is>
      </c>
      <c r="B223" t="n">
        <v>-0.371</v>
      </c>
      <c r="C223" t="n">
        <v>1150</v>
      </c>
      <c r="D223" t="inlineStr">
        <is>
          <t>&lt; .001</t>
        </is>
      </c>
      <c r="E223" t="inlineStr">
        <is>
          <t>[-0.420, -0.320]</t>
        </is>
      </c>
      <c r="F223" t="inlineStr">
        <is>
          <t>&lt; .001</t>
        </is>
      </c>
      <c r="G223" t="inlineStr">
        <is>
          <t>✓</t>
        </is>
      </c>
    </row>
    <row r="224">
      <c r="A224" t="inlineStr">
        <is>
          <t>L_7PL_ROI</t>
        </is>
      </c>
      <c r="B224" t="n">
        <v>-0.26</v>
      </c>
      <c r="C224" t="n">
        <v>1150</v>
      </c>
      <c r="D224" t="inlineStr">
        <is>
          <t>&lt; .001</t>
        </is>
      </c>
      <c r="E224" t="inlineStr">
        <is>
          <t>[-0.314, -0.206]</t>
        </is>
      </c>
      <c r="F224" t="inlineStr">
        <is>
          <t>&lt; .001</t>
        </is>
      </c>
      <c r="G224" t="inlineStr">
        <is>
          <t>✓</t>
        </is>
      </c>
    </row>
    <row r="225">
      <c r="A225" t="inlineStr">
        <is>
          <t>L_7PC_ROI</t>
        </is>
      </c>
      <c r="B225" t="n">
        <v>-0.33</v>
      </c>
      <c r="C225" t="n">
        <v>1150</v>
      </c>
      <c r="D225" t="inlineStr">
        <is>
          <t>&lt; .001</t>
        </is>
      </c>
      <c r="E225" t="inlineStr">
        <is>
          <t>[-0.380, -0.277]</t>
        </is>
      </c>
      <c r="F225" t="inlineStr">
        <is>
          <t>&lt; .001</t>
        </is>
      </c>
      <c r="G225" t="inlineStr">
        <is>
          <t>✓</t>
        </is>
      </c>
    </row>
    <row r="226">
      <c r="A226" t="inlineStr">
        <is>
          <t>L_LIPv_ROI</t>
        </is>
      </c>
      <c r="B226" t="n">
        <v>-0.335</v>
      </c>
      <c r="C226" t="n">
        <v>1150</v>
      </c>
      <c r="D226" t="inlineStr">
        <is>
          <t>&lt; .001</t>
        </is>
      </c>
      <c r="E226" t="inlineStr">
        <is>
          <t>[-0.385, -0.282]</t>
        </is>
      </c>
      <c r="F226" t="inlineStr">
        <is>
          <t>&lt; .001</t>
        </is>
      </c>
      <c r="G226" t="inlineStr">
        <is>
          <t>✓</t>
        </is>
      </c>
    </row>
    <row r="227">
      <c r="A227" t="inlineStr">
        <is>
          <t>L_VIP_ROI</t>
        </is>
      </c>
      <c r="B227" t="n">
        <v>-0.306</v>
      </c>
      <c r="C227" t="n">
        <v>1150</v>
      </c>
      <c r="D227" t="inlineStr">
        <is>
          <t>&lt; .001</t>
        </is>
      </c>
      <c r="E227" t="inlineStr">
        <is>
          <t>[-0.357, -0.253]</t>
        </is>
      </c>
      <c r="F227" t="inlineStr">
        <is>
          <t>&lt; .001</t>
        </is>
      </c>
      <c r="G227" t="inlineStr">
        <is>
          <t>✓</t>
        </is>
      </c>
    </row>
    <row r="228">
      <c r="A228" t="inlineStr">
        <is>
          <t>L_MIP_ROI</t>
        </is>
      </c>
      <c r="B228" t="n">
        <v>-0.2</v>
      </c>
      <c r="C228" t="n">
        <v>1150</v>
      </c>
      <c r="D228" t="inlineStr">
        <is>
          <t>&lt; .001</t>
        </is>
      </c>
      <c r="E228" t="inlineStr">
        <is>
          <t>[-0.255, -0.144]</t>
        </is>
      </c>
      <c r="F228" t="inlineStr">
        <is>
          <t>&lt; .001</t>
        </is>
      </c>
      <c r="G228" t="inlineStr">
        <is>
          <t>✓</t>
        </is>
      </c>
    </row>
    <row r="229">
      <c r="A229" t="inlineStr">
        <is>
          <t>L_1_ROI</t>
        </is>
      </c>
      <c r="B229" t="n">
        <v>-0.484</v>
      </c>
      <c r="C229" t="n">
        <v>1150</v>
      </c>
      <c r="D229" t="inlineStr">
        <is>
          <t>&lt; .001</t>
        </is>
      </c>
      <c r="E229" t="inlineStr">
        <is>
          <t>[-0.527, -0.439]</t>
        </is>
      </c>
      <c r="F229" t="inlineStr">
        <is>
          <t>&lt; .001</t>
        </is>
      </c>
      <c r="G229" t="inlineStr">
        <is>
          <t>✓</t>
        </is>
      </c>
    </row>
    <row r="230">
      <c r="A230" t="inlineStr">
        <is>
          <t>L_2_ROI</t>
        </is>
      </c>
      <c r="B230" t="n">
        <v>-0.41</v>
      </c>
      <c r="C230" t="n">
        <v>1150</v>
      </c>
      <c r="D230" t="inlineStr">
        <is>
          <t>&lt; .001</t>
        </is>
      </c>
      <c r="E230" t="inlineStr">
        <is>
          <t>[-0.457, -0.360]</t>
        </is>
      </c>
      <c r="F230" t="inlineStr">
        <is>
          <t>&lt; .001</t>
        </is>
      </c>
      <c r="G230" t="inlineStr">
        <is>
          <t>✓</t>
        </is>
      </c>
    </row>
    <row r="231">
      <c r="A231" t="inlineStr">
        <is>
          <t>L_3a_ROI</t>
        </is>
      </c>
      <c r="B231" t="n">
        <v>-0.323</v>
      </c>
      <c r="C231" t="n">
        <v>1150</v>
      </c>
      <c r="D231" t="inlineStr">
        <is>
          <t>&lt; .001</t>
        </is>
      </c>
      <c r="E231" t="inlineStr">
        <is>
          <t>[-0.374, -0.270]</t>
        </is>
      </c>
      <c r="F231" t="inlineStr">
        <is>
          <t>&lt; .001</t>
        </is>
      </c>
      <c r="G231" t="inlineStr">
        <is>
          <t>✓</t>
        </is>
      </c>
    </row>
    <row r="232">
      <c r="A232" t="inlineStr">
        <is>
          <t>L_6d_ROI</t>
        </is>
      </c>
      <c r="B232" t="n">
        <v>-0.286</v>
      </c>
      <c r="C232" t="n">
        <v>1150</v>
      </c>
      <c r="D232" t="inlineStr">
        <is>
          <t>&lt; .001</t>
        </is>
      </c>
      <c r="E232" t="inlineStr">
        <is>
          <t>[-0.338, -0.232]</t>
        </is>
      </c>
      <c r="F232" t="inlineStr">
        <is>
          <t>&lt; .001</t>
        </is>
      </c>
      <c r="G232" t="inlineStr">
        <is>
          <t>✓</t>
        </is>
      </c>
    </row>
    <row r="233">
      <c r="A233" t="inlineStr">
        <is>
          <t>L_6mp_ROI</t>
        </is>
      </c>
      <c r="B233" t="n">
        <v>-0.341</v>
      </c>
      <c r="C233" t="n">
        <v>1150</v>
      </c>
      <c r="D233" t="inlineStr">
        <is>
          <t>&lt; .001</t>
        </is>
      </c>
      <c r="E233" t="inlineStr">
        <is>
          <t>[-0.391, -0.289]</t>
        </is>
      </c>
      <c r="F233" t="inlineStr">
        <is>
          <t>&lt; .001</t>
        </is>
      </c>
      <c r="G233" t="inlineStr">
        <is>
          <t>✓</t>
        </is>
      </c>
    </row>
    <row r="234">
      <c r="A234" t="inlineStr">
        <is>
          <t>L_6v_ROI</t>
        </is>
      </c>
      <c r="B234" t="n">
        <v>-0.36</v>
      </c>
      <c r="C234" t="n">
        <v>1150</v>
      </c>
      <c r="D234" t="inlineStr">
        <is>
          <t>&lt; .001</t>
        </is>
      </c>
      <c r="E234" t="inlineStr">
        <is>
          <t>[-0.409, -0.308]</t>
        </is>
      </c>
      <c r="F234" t="inlineStr">
        <is>
          <t>&lt; .001</t>
        </is>
      </c>
      <c r="G234" t="inlineStr">
        <is>
          <t>✓</t>
        </is>
      </c>
    </row>
    <row r="235">
      <c r="A235" t="inlineStr">
        <is>
          <t>L_p24pr_ROI</t>
        </is>
      </c>
      <c r="B235" t="n">
        <v>-0.343</v>
      </c>
      <c r="C235" t="n">
        <v>1150</v>
      </c>
      <c r="D235" t="inlineStr">
        <is>
          <t>&lt; .001</t>
        </is>
      </c>
      <c r="E235" t="inlineStr">
        <is>
          <t>[-0.393, -0.291]</t>
        </is>
      </c>
      <c r="F235" t="inlineStr">
        <is>
          <t>&lt; .001</t>
        </is>
      </c>
      <c r="G235" t="inlineStr">
        <is>
          <t>✓</t>
        </is>
      </c>
    </row>
    <row r="236">
      <c r="A236" t="inlineStr">
        <is>
          <t>L_33pr_ROI</t>
        </is>
      </c>
      <c r="B236" t="n">
        <v>-0.306</v>
      </c>
      <c r="C236" t="n">
        <v>1150</v>
      </c>
      <c r="D236" t="inlineStr">
        <is>
          <t>&lt; .001</t>
        </is>
      </c>
      <c r="E236" t="inlineStr">
        <is>
          <t>[-0.358, -0.253]</t>
        </is>
      </c>
      <c r="F236" t="inlineStr">
        <is>
          <t>&lt; .001</t>
        </is>
      </c>
      <c r="G236" t="inlineStr">
        <is>
          <t>✓</t>
        </is>
      </c>
    </row>
    <row r="237">
      <c r="A237" t="inlineStr">
        <is>
          <t>L_a24pr_ROI</t>
        </is>
      </c>
      <c r="B237" t="n">
        <v>-0.318</v>
      </c>
      <c r="C237" t="n">
        <v>1150</v>
      </c>
      <c r="D237" t="inlineStr">
        <is>
          <t>&lt; .001</t>
        </is>
      </c>
      <c r="E237" t="inlineStr">
        <is>
          <t>[-0.369, -0.265]</t>
        </is>
      </c>
      <c r="F237" t="inlineStr">
        <is>
          <t>&lt; .001</t>
        </is>
      </c>
      <c r="G237" t="inlineStr">
        <is>
          <t>✓</t>
        </is>
      </c>
    </row>
    <row r="238">
      <c r="A238" t="inlineStr">
        <is>
          <t>L_p32pr_ROI</t>
        </is>
      </c>
      <c r="B238" t="n">
        <v>-0.42</v>
      </c>
      <c r="C238" t="n">
        <v>1150</v>
      </c>
      <c r="D238" t="inlineStr">
        <is>
          <t>&lt; .001</t>
        </is>
      </c>
      <c r="E238" t="inlineStr">
        <is>
          <t>[-0.467, -0.372]</t>
        </is>
      </c>
      <c r="F238" t="inlineStr">
        <is>
          <t>&lt; .001</t>
        </is>
      </c>
      <c r="G238" t="inlineStr">
        <is>
          <t>✓</t>
        </is>
      </c>
    </row>
    <row r="239">
      <c r="A239" t="inlineStr">
        <is>
          <t>L_a24_ROI</t>
        </is>
      </c>
      <c r="B239" t="n">
        <v>-0.115</v>
      </c>
      <c r="C239" t="n">
        <v>1150</v>
      </c>
      <c r="D239" t="inlineStr">
        <is>
          <t>&lt; .001</t>
        </is>
      </c>
      <c r="E239" t="inlineStr">
        <is>
          <t>[-0.171, -0.057]</t>
        </is>
      </c>
      <c r="F239" t="inlineStr">
        <is>
          <t>&lt; .001</t>
        </is>
      </c>
      <c r="G239" t="inlineStr">
        <is>
          <t>✓</t>
        </is>
      </c>
    </row>
    <row r="240">
      <c r="A240" t="inlineStr">
        <is>
          <t>L_d32_ROI</t>
        </is>
      </c>
      <c r="B240" t="n">
        <v>-0.393</v>
      </c>
      <c r="C240" t="n">
        <v>1150</v>
      </c>
      <c r="D240" t="inlineStr">
        <is>
          <t>&lt; .001</t>
        </is>
      </c>
      <c r="E240" t="inlineStr">
        <is>
          <t>[-0.441, -0.343]</t>
        </is>
      </c>
      <c r="F240" t="inlineStr">
        <is>
          <t>&lt; .001</t>
        </is>
      </c>
      <c r="G240" t="inlineStr">
        <is>
          <t>✓</t>
        </is>
      </c>
    </row>
    <row r="241">
      <c r="A241" t="inlineStr">
        <is>
          <t>L_8BM_ROI</t>
        </is>
      </c>
      <c r="B241" t="n">
        <v>-0.425</v>
      </c>
      <c r="C241" t="n">
        <v>1150</v>
      </c>
      <c r="D241" t="inlineStr">
        <is>
          <t>&lt; .001</t>
        </is>
      </c>
      <c r="E241" t="inlineStr">
        <is>
          <t>[-0.471, -0.376]</t>
        </is>
      </c>
      <c r="F241" t="inlineStr">
        <is>
          <t>&lt; .001</t>
        </is>
      </c>
      <c r="G241" t="inlineStr">
        <is>
          <t>✓</t>
        </is>
      </c>
    </row>
    <row r="242">
      <c r="A242" t="inlineStr">
        <is>
          <t>L_p32_ROI</t>
        </is>
      </c>
      <c r="B242" t="n">
        <v>-0.164</v>
      </c>
      <c r="C242" t="n">
        <v>1150</v>
      </c>
      <c r="D242" t="inlineStr">
        <is>
          <t>&lt; .001</t>
        </is>
      </c>
      <c r="E242" t="inlineStr">
        <is>
          <t>[-0.220, -0.107]</t>
        </is>
      </c>
      <c r="F242" t="inlineStr">
        <is>
          <t>&lt; .001</t>
        </is>
      </c>
      <c r="G242" t="inlineStr">
        <is>
          <t>✓</t>
        </is>
      </c>
    </row>
    <row r="243">
      <c r="A243" t="inlineStr">
        <is>
          <t>L_10r_ROI</t>
        </is>
      </c>
      <c r="B243" t="n">
        <v>-0.129</v>
      </c>
      <c r="C243" t="n">
        <v>1150</v>
      </c>
      <c r="D243" t="inlineStr">
        <is>
          <t>&lt; .001</t>
        </is>
      </c>
      <c r="E243" t="inlineStr">
        <is>
          <t>[-0.185, -0.072]</t>
        </is>
      </c>
      <c r="F243" t="inlineStr">
        <is>
          <t>&lt; .001</t>
        </is>
      </c>
      <c r="G243" t="inlineStr">
        <is>
          <t>✓</t>
        </is>
      </c>
    </row>
    <row r="244">
      <c r="A244" t="inlineStr">
        <is>
          <t>L_47m_ROI</t>
        </is>
      </c>
      <c r="B244" t="n">
        <v>-0.275</v>
      </c>
      <c r="C244" t="n">
        <v>1150</v>
      </c>
      <c r="D244" t="inlineStr">
        <is>
          <t>&lt; .001</t>
        </is>
      </c>
      <c r="E244" t="inlineStr">
        <is>
          <t>[-0.328, -0.221]</t>
        </is>
      </c>
      <c r="F244" t="inlineStr">
        <is>
          <t>&lt; .001</t>
        </is>
      </c>
      <c r="G244" t="inlineStr">
        <is>
          <t>✓</t>
        </is>
      </c>
    </row>
    <row r="245">
      <c r="A245" t="inlineStr">
        <is>
          <t>L_8Av_ROI</t>
        </is>
      </c>
      <c r="B245" t="n">
        <v>-0.364</v>
      </c>
      <c r="C245" t="n">
        <v>1150</v>
      </c>
      <c r="D245" t="inlineStr">
        <is>
          <t>&lt; .001</t>
        </is>
      </c>
      <c r="E245" t="inlineStr">
        <is>
          <t>[-0.413, -0.313]</t>
        </is>
      </c>
      <c r="F245" t="inlineStr">
        <is>
          <t>&lt; .001</t>
        </is>
      </c>
      <c r="G245" t="inlineStr">
        <is>
          <t>✓</t>
        </is>
      </c>
    </row>
    <row r="246">
      <c r="A246" t="inlineStr">
        <is>
          <t>L_8Ad_ROI</t>
        </is>
      </c>
      <c r="B246" t="n">
        <v>-0.413</v>
      </c>
      <c r="C246" t="n">
        <v>1150</v>
      </c>
      <c r="D246" t="inlineStr">
        <is>
          <t>&lt; .001</t>
        </is>
      </c>
      <c r="E246" t="inlineStr">
        <is>
          <t>[-0.460, -0.364]</t>
        </is>
      </c>
      <c r="F246" t="inlineStr">
        <is>
          <t>&lt; .001</t>
        </is>
      </c>
      <c r="G246" t="inlineStr">
        <is>
          <t>✓</t>
        </is>
      </c>
    </row>
    <row r="247">
      <c r="A247" t="inlineStr">
        <is>
          <t>L_9m_ROI</t>
        </is>
      </c>
      <c r="B247" t="n">
        <v>-0.322</v>
      </c>
      <c r="C247" t="n">
        <v>1150</v>
      </c>
      <c r="D247" t="inlineStr">
        <is>
          <t>&lt; .001</t>
        </is>
      </c>
      <c r="E247" t="inlineStr">
        <is>
          <t>[-0.373, -0.269]</t>
        </is>
      </c>
      <c r="F247" t="inlineStr">
        <is>
          <t>&lt; .001</t>
        </is>
      </c>
      <c r="G247" t="inlineStr">
        <is>
          <t>✓</t>
        </is>
      </c>
    </row>
    <row r="248">
      <c r="A248" t="inlineStr">
        <is>
          <t>L_8BL_ROI</t>
        </is>
      </c>
      <c r="B248" t="n">
        <v>-0.36</v>
      </c>
      <c r="C248" t="n">
        <v>1150</v>
      </c>
      <c r="D248" t="inlineStr">
        <is>
          <t>&lt; .001</t>
        </is>
      </c>
      <c r="E248" t="inlineStr">
        <is>
          <t>[-0.410, -0.309]</t>
        </is>
      </c>
      <c r="F248" t="inlineStr">
        <is>
          <t>&lt; .001</t>
        </is>
      </c>
      <c r="G248" t="inlineStr">
        <is>
          <t>✓</t>
        </is>
      </c>
    </row>
    <row r="249">
      <c r="A249" t="inlineStr">
        <is>
          <t>L_9p_ROI</t>
        </is>
      </c>
      <c r="B249" t="n">
        <v>-0.341</v>
      </c>
      <c r="C249" t="n">
        <v>1150</v>
      </c>
      <c r="D249" t="inlineStr">
        <is>
          <t>&lt; .001</t>
        </is>
      </c>
      <c r="E249" t="inlineStr">
        <is>
          <t>[-0.391, -0.289]</t>
        </is>
      </c>
      <c r="F249" t="inlineStr">
        <is>
          <t>&lt; .001</t>
        </is>
      </c>
      <c r="G249" t="inlineStr">
        <is>
          <t>✓</t>
        </is>
      </c>
    </row>
    <row r="250">
      <c r="A250" t="inlineStr">
        <is>
          <t>L_10d_ROI</t>
        </is>
      </c>
      <c r="B250" t="n">
        <v>-0.254</v>
      </c>
      <c r="C250" t="n">
        <v>1150</v>
      </c>
      <c r="D250" t="inlineStr">
        <is>
          <t>&lt; .001</t>
        </is>
      </c>
      <c r="E250" t="inlineStr">
        <is>
          <t>[-0.308, -0.199]</t>
        </is>
      </c>
      <c r="F250" t="inlineStr">
        <is>
          <t>&lt; .001</t>
        </is>
      </c>
      <c r="G250" t="inlineStr">
        <is>
          <t>✓</t>
        </is>
      </c>
    </row>
    <row r="251">
      <c r="A251" t="inlineStr">
        <is>
          <t>L_8C_ROI</t>
        </is>
      </c>
      <c r="B251" t="n">
        <v>-0.428</v>
      </c>
      <c r="C251" t="n">
        <v>1150</v>
      </c>
      <c r="D251" t="inlineStr">
        <is>
          <t>&lt; .001</t>
        </is>
      </c>
      <c r="E251" t="inlineStr">
        <is>
          <t>[-0.474, -0.379]</t>
        </is>
      </c>
      <c r="F251" t="inlineStr">
        <is>
          <t>&lt; .001</t>
        </is>
      </c>
      <c r="G251" t="inlineStr">
        <is>
          <t>✓</t>
        </is>
      </c>
    </row>
    <row r="252">
      <c r="A252" t="inlineStr">
        <is>
          <t>L_44_ROI</t>
        </is>
      </c>
      <c r="B252" t="n">
        <v>-0.304</v>
      </c>
      <c r="C252" t="n">
        <v>1150</v>
      </c>
      <c r="D252" t="inlineStr">
        <is>
          <t>&lt; .001</t>
        </is>
      </c>
      <c r="E252" t="inlineStr">
        <is>
          <t>[-0.355, -0.251]</t>
        </is>
      </c>
      <c r="F252" t="inlineStr">
        <is>
          <t>&lt; .001</t>
        </is>
      </c>
      <c r="G252" t="inlineStr">
        <is>
          <t>✓</t>
        </is>
      </c>
    </row>
    <row r="253">
      <c r="A253" t="inlineStr">
        <is>
          <t>L_45_ROI</t>
        </is>
      </c>
      <c r="B253" t="n">
        <v>-0.361</v>
      </c>
      <c r="C253" t="n">
        <v>1150</v>
      </c>
      <c r="D253" t="inlineStr">
        <is>
          <t>&lt; .001</t>
        </is>
      </c>
      <c r="E253" t="inlineStr">
        <is>
          <t>[-0.410, -0.309]</t>
        </is>
      </c>
      <c r="F253" t="inlineStr">
        <is>
          <t>&lt; .001</t>
        </is>
      </c>
      <c r="G253" t="inlineStr">
        <is>
          <t>✓</t>
        </is>
      </c>
    </row>
    <row r="254">
      <c r="A254" t="inlineStr">
        <is>
          <t>L_47l_ROI</t>
        </is>
      </c>
      <c r="B254" t="n">
        <v>-0.424</v>
      </c>
      <c r="C254" t="n">
        <v>1150</v>
      </c>
      <c r="D254" t="inlineStr">
        <is>
          <t>&lt; .001</t>
        </is>
      </c>
      <c r="E254" t="inlineStr">
        <is>
          <t>[-0.471, -0.376]</t>
        </is>
      </c>
      <c r="F254" t="inlineStr">
        <is>
          <t>&lt; .001</t>
        </is>
      </c>
      <c r="G254" t="inlineStr">
        <is>
          <t>✓</t>
        </is>
      </c>
    </row>
    <row r="255">
      <c r="A255" t="inlineStr">
        <is>
          <t>L_a47r_ROI</t>
        </is>
      </c>
      <c r="B255" t="n">
        <v>-0.396</v>
      </c>
      <c r="C255" t="n">
        <v>1150</v>
      </c>
      <c r="D255" t="inlineStr">
        <is>
          <t>&lt; .001</t>
        </is>
      </c>
      <c r="E255" t="inlineStr">
        <is>
          <t>[-0.444, -0.347]</t>
        </is>
      </c>
      <c r="F255" t="inlineStr">
        <is>
          <t>&lt; .001</t>
        </is>
      </c>
      <c r="G255" t="inlineStr">
        <is>
          <t>✓</t>
        </is>
      </c>
    </row>
    <row r="256">
      <c r="A256" t="inlineStr">
        <is>
          <t>L_6r_ROI</t>
        </is>
      </c>
      <c r="B256" t="n">
        <v>-0.408</v>
      </c>
      <c r="C256" t="n">
        <v>1150</v>
      </c>
      <c r="D256" t="inlineStr">
        <is>
          <t>&lt; .001</t>
        </is>
      </c>
      <c r="E256" t="inlineStr">
        <is>
          <t>[-0.455, -0.359]</t>
        </is>
      </c>
      <c r="F256" t="inlineStr">
        <is>
          <t>&lt; .001</t>
        </is>
      </c>
      <c r="G256" t="inlineStr">
        <is>
          <t>✓</t>
        </is>
      </c>
    </row>
    <row r="257">
      <c r="A257" t="inlineStr">
        <is>
          <t>L_IFJa_ROI</t>
        </is>
      </c>
      <c r="B257" t="n">
        <v>-0.35</v>
      </c>
      <c r="C257" t="n">
        <v>1150</v>
      </c>
      <c r="D257" t="inlineStr">
        <is>
          <t>&lt; .001</t>
        </is>
      </c>
      <c r="E257" t="inlineStr">
        <is>
          <t>[-0.400, -0.298]</t>
        </is>
      </c>
      <c r="F257" t="inlineStr">
        <is>
          <t>&lt; .001</t>
        </is>
      </c>
      <c r="G257" t="inlineStr">
        <is>
          <t>✓</t>
        </is>
      </c>
    </row>
    <row r="258">
      <c r="A258" t="inlineStr">
        <is>
          <t>L_IFJp_ROI</t>
        </is>
      </c>
      <c r="B258" t="n">
        <v>-0.28</v>
      </c>
      <c r="C258" t="n">
        <v>1150</v>
      </c>
      <c r="D258" t="inlineStr">
        <is>
          <t>&lt; .001</t>
        </is>
      </c>
      <c r="E258" t="inlineStr">
        <is>
          <t>[-0.332, -0.226]</t>
        </is>
      </c>
      <c r="F258" t="inlineStr">
        <is>
          <t>&lt; .001</t>
        </is>
      </c>
      <c r="G258" t="inlineStr">
        <is>
          <t>✓</t>
        </is>
      </c>
    </row>
    <row r="259">
      <c r="A259" t="inlineStr">
        <is>
          <t>L_IFSp_ROI</t>
        </is>
      </c>
      <c r="B259" t="n">
        <v>-0.314</v>
      </c>
      <c r="C259" t="n">
        <v>1150</v>
      </c>
      <c r="D259" t="inlineStr">
        <is>
          <t>&lt; .001</t>
        </is>
      </c>
      <c r="E259" t="inlineStr">
        <is>
          <t>[-0.365, -0.261]</t>
        </is>
      </c>
      <c r="F259" t="inlineStr">
        <is>
          <t>&lt; .001</t>
        </is>
      </c>
      <c r="G259" t="inlineStr">
        <is>
          <t>✓</t>
        </is>
      </c>
    </row>
    <row r="260">
      <c r="A260" t="inlineStr">
        <is>
          <t>L_IFSa_ROI</t>
        </is>
      </c>
      <c r="B260" t="n">
        <v>-0.325</v>
      </c>
      <c r="C260" t="n">
        <v>1150</v>
      </c>
      <c r="D260" t="inlineStr">
        <is>
          <t>&lt; .001</t>
        </is>
      </c>
      <c r="E260" t="inlineStr">
        <is>
          <t>[-0.375, -0.272]</t>
        </is>
      </c>
      <c r="F260" t="inlineStr">
        <is>
          <t>&lt; .001</t>
        </is>
      </c>
      <c r="G260" t="inlineStr">
        <is>
          <t>✓</t>
        </is>
      </c>
    </row>
    <row r="261">
      <c r="A261" t="inlineStr">
        <is>
          <t>L_p9_46v_ROI</t>
        </is>
      </c>
      <c r="B261" t="n">
        <v>-0.341</v>
      </c>
      <c r="C261" t="n">
        <v>1150</v>
      </c>
      <c r="D261" t="inlineStr">
        <is>
          <t>&lt; .001</t>
        </is>
      </c>
      <c r="E261" t="inlineStr">
        <is>
          <t>[-0.391, -0.289]</t>
        </is>
      </c>
      <c r="F261" t="inlineStr">
        <is>
          <t>&lt; .001</t>
        </is>
      </c>
      <c r="G261" t="inlineStr">
        <is>
          <t>✓</t>
        </is>
      </c>
    </row>
    <row r="262">
      <c r="A262" t="inlineStr">
        <is>
          <t>L_46_ROI</t>
        </is>
      </c>
      <c r="B262" t="n">
        <v>-0.357</v>
      </c>
      <c r="C262" t="n">
        <v>1150</v>
      </c>
      <c r="D262" t="inlineStr">
        <is>
          <t>&lt; .001</t>
        </is>
      </c>
      <c r="E262" t="inlineStr">
        <is>
          <t>[-0.407, -0.306]</t>
        </is>
      </c>
      <c r="F262" t="inlineStr">
        <is>
          <t>&lt; .001</t>
        </is>
      </c>
      <c r="G262" t="inlineStr">
        <is>
          <t>✓</t>
        </is>
      </c>
    </row>
    <row r="263">
      <c r="A263" t="inlineStr">
        <is>
          <t>L_a9_46v_ROI</t>
        </is>
      </c>
      <c r="B263" t="n">
        <v>-0.346</v>
      </c>
      <c r="C263" t="n">
        <v>1150</v>
      </c>
      <c r="D263" t="inlineStr">
        <is>
          <t>&lt; .001</t>
        </is>
      </c>
      <c r="E263" t="inlineStr">
        <is>
          <t>[-0.396, -0.294]</t>
        </is>
      </c>
      <c r="F263" t="inlineStr">
        <is>
          <t>&lt; .001</t>
        </is>
      </c>
      <c r="G263" t="inlineStr">
        <is>
          <t>✓</t>
        </is>
      </c>
    </row>
    <row r="264">
      <c r="A264" t="inlineStr">
        <is>
          <t>L_9_46d_ROI</t>
        </is>
      </c>
      <c r="B264" t="n">
        <v>-0.417</v>
      </c>
      <c r="C264" t="n">
        <v>1150</v>
      </c>
      <c r="D264" t="inlineStr">
        <is>
          <t>&lt; .001</t>
        </is>
      </c>
      <c r="E264" t="inlineStr">
        <is>
          <t>[-0.464, -0.368]</t>
        </is>
      </c>
      <c r="F264" t="inlineStr">
        <is>
          <t>&lt; .001</t>
        </is>
      </c>
      <c r="G264" t="inlineStr">
        <is>
          <t>✓</t>
        </is>
      </c>
    </row>
    <row r="265">
      <c r="A265" t="inlineStr">
        <is>
          <t>L_9a_ROI</t>
        </is>
      </c>
      <c r="B265" t="n">
        <v>-0.274</v>
      </c>
      <c r="C265" t="n">
        <v>1150</v>
      </c>
      <c r="D265" t="inlineStr">
        <is>
          <t>&lt; .001</t>
        </is>
      </c>
      <c r="E265" t="inlineStr">
        <is>
          <t>[-0.326, -0.219]</t>
        </is>
      </c>
      <c r="F265" t="inlineStr">
        <is>
          <t>&lt; .001</t>
        </is>
      </c>
      <c r="G265" t="inlineStr">
        <is>
          <t>✓</t>
        </is>
      </c>
    </row>
    <row r="266">
      <c r="A266" t="inlineStr">
        <is>
          <t>L_10v_ROI</t>
        </is>
      </c>
      <c r="B266" t="n">
        <v>-0.074</v>
      </c>
      <c r="C266" t="n">
        <v>1150</v>
      </c>
      <c r="D266">
        <f> 0.012</f>
        <v/>
      </c>
      <c r="E266" t="inlineStr">
        <is>
          <t>[-0.131, -0.016]</t>
        </is>
      </c>
      <c r="F266">
        <f> 0.012</f>
        <v/>
      </c>
      <c r="G266" t="inlineStr">
        <is>
          <t>✓</t>
        </is>
      </c>
    </row>
    <row r="267">
      <c r="A267" t="inlineStr">
        <is>
          <t>L_a10p_ROI</t>
        </is>
      </c>
      <c r="B267" t="n">
        <v>-0.326</v>
      </c>
      <c r="C267" t="n">
        <v>1150</v>
      </c>
      <c r="D267" t="inlineStr">
        <is>
          <t>&lt; .001</t>
        </is>
      </c>
      <c r="E267" t="inlineStr">
        <is>
          <t>[-0.376, -0.273]</t>
        </is>
      </c>
      <c r="F267" t="inlineStr">
        <is>
          <t>&lt; .001</t>
        </is>
      </c>
      <c r="G267" t="inlineStr">
        <is>
          <t>✓</t>
        </is>
      </c>
    </row>
    <row r="268">
      <c r="A268" t="inlineStr">
        <is>
          <t>L_10pp_ROI</t>
        </is>
      </c>
      <c r="B268" t="n">
        <v>-0.256</v>
      </c>
      <c r="C268" t="n">
        <v>1150</v>
      </c>
      <c r="D268" t="inlineStr">
        <is>
          <t>&lt; .001</t>
        </is>
      </c>
      <c r="E268" t="inlineStr">
        <is>
          <t>[-0.309, -0.201]</t>
        </is>
      </c>
      <c r="F268" t="inlineStr">
        <is>
          <t>&lt; .001</t>
        </is>
      </c>
      <c r="G268" t="inlineStr">
        <is>
          <t>✓</t>
        </is>
      </c>
    </row>
    <row r="269">
      <c r="A269" t="inlineStr">
        <is>
          <t>L_11l_ROI</t>
        </is>
      </c>
      <c r="B269" t="n">
        <v>-0.22</v>
      </c>
      <c r="C269" t="n">
        <v>1150</v>
      </c>
      <c r="D269" t="inlineStr">
        <is>
          <t>&lt; .001</t>
        </is>
      </c>
      <c r="E269" t="inlineStr">
        <is>
          <t>[-0.275, -0.165]</t>
        </is>
      </c>
      <c r="F269" t="inlineStr">
        <is>
          <t>&lt; .001</t>
        </is>
      </c>
      <c r="G269" t="inlineStr">
        <is>
          <t>✓</t>
        </is>
      </c>
    </row>
    <row r="270">
      <c r="A270" t="inlineStr">
        <is>
          <t>L_13l_ROI</t>
        </is>
      </c>
      <c r="B270" t="n">
        <v>-0.295</v>
      </c>
      <c r="C270" t="n">
        <v>1150</v>
      </c>
      <c r="D270" t="inlineStr">
        <is>
          <t>&lt; .001</t>
        </is>
      </c>
      <c r="E270" t="inlineStr">
        <is>
          <t>[-0.347, -0.241]</t>
        </is>
      </c>
      <c r="F270" t="inlineStr">
        <is>
          <t>&lt; .001</t>
        </is>
      </c>
      <c r="G270" t="inlineStr">
        <is>
          <t>✓</t>
        </is>
      </c>
    </row>
    <row r="271">
      <c r="A271" t="inlineStr">
        <is>
          <t>L_47s_ROI</t>
        </is>
      </c>
      <c r="B271" t="n">
        <v>-0.28</v>
      </c>
      <c r="C271" t="n">
        <v>1150</v>
      </c>
      <c r="D271" t="inlineStr">
        <is>
          <t>&lt; .001</t>
        </is>
      </c>
      <c r="E271" t="inlineStr">
        <is>
          <t>[-0.333, -0.226]</t>
        </is>
      </c>
      <c r="F271" t="inlineStr">
        <is>
          <t>&lt; .001</t>
        </is>
      </c>
      <c r="G271" t="inlineStr">
        <is>
          <t>✓</t>
        </is>
      </c>
    </row>
    <row r="272">
      <c r="A272" t="inlineStr">
        <is>
          <t>L_LIPd_ROI</t>
        </is>
      </c>
      <c r="B272" t="n">
        <v>-0.312</v>
      </c>
      <c r="C272" t="n">
        <v>1150</v>
      </c>
      <c r="D272" t="inlineStr">
        <is>
          <t>&lt; .001</t>
        </is>
      </c>
      <c r="E272" t="inlineStr">
        <is>
          <t>[-0.364, -0.259]</t>
        </is>
      </c>
      <c r="F272" t="inlineStr">
        <is>
          <t>&lt; .001</t>
        </is>
      </c>
      <c r="G272" t="inlineStr">
        <is>
          <t>✓</t>
        </is>
      </c>
    </row>
    <row r="273">
      <c r="A273" t="inlineStr">
        <is>
          <t>L_6a_ROI</t>
        </is>
      </c>
      <c r="B273" t="n">
        <v>-0.347</v>
      </c>
      <c r="C273" t="n">
        <v>1150</v>
      </c>
      <c r="D273" t="inlineStr">
        <is>
          <t>&lt; .001</t>
        </is>
      </c>
      <c r="E273" t="inlineStr">
        <is>
          <t>[-0.397, -0.295]</t>
        </is>
      </c>
      <c r="F273" t="inlineStr">
        <is>
          <t>&lt; .001</t>
        </is>
      </c>
      <c r="G273" t="inlineStr">
        <is>
          <t>✓</t>
        </is>
      </c>
    </row>
    <row r="274">
      <c r="A274" t="inlineStr">
        <is>
          <t>L_i6_8_ROI</t>
        </is>
      </c>
      <c r="B274" t="n">
        <v>-0.28</v>
      </c>
      <c r="C274" t="n">
        <v>1150</v>
      </c>
      <c r="D274" t="inlineStr">
        <is>
          <t>&lt; .001</t>
        </is>
      </c>
      <c r="E274" t="inlineStr">
        <is>
          <t>[-0.332, -0.226]</t>
        </is>
      </c>
      <c r="F274" t="inlineStr">
        <is>
          <t>&lt; .001</t>
        </is>
      </c>
      <c r="G274" t="inlineStr">
        <is>
          <t>✓</t>
        </is>
      </c>
    </row>
    <row r="275">
      <c r="A275" t="inlineStr">
        <is>
          <t>L_s6_8_ROI</t>
        </is>
      </c>
      <c r="B275" t="n">
        <v>-0.291</v>
      </c>
      <c r="C275" t="n">
        <v>1150</v>
      </c>
      <c r="D275" t="inlineStr">
        <is>
          <t>&lt; .001</t>
        </is>
      </c>
      <c r="E275" t="inlineStr">
        <is>
          <t>[-0.343, -0.238]</t>
        </is>
      </c>
      <c r="F275" t="inlineStr">
        <is>
          <t>&lt; .001</t>
        </is>
      </c>
      <c r="G275" t="inlineStr">
        <is>
          <t>✓</t>
        </is>
      </c>
    </row>
    <row r="276">
      <c r="A276" t="inlineStr">
        <is>
          <t>L_43_ROI</t>
        </is>
      </c>
      <c r="B276" t="n">
        <v>-0.413</v>
      </c>
      <c r="C276" t="n">
        <v>1150</v>
      </c>
      <c r="D276" t="inlineStr">
        <is>
          <t>&lt; .001</t>
        </is>
      </c>
      <c r="E276" t="inlineStr">
        <is>
          <t>[-0.460, -0.364]</t>
        </is>
      </c>
      <c r="F276" t="inlineStr">
        <is>
          <t>&lt; .001</t>
        </is>
      </c>
      <c r="G276" t="inlineStr">
        <is>
          <t>✓</t>
        </is>
      </c>
    </row>
    <row r="277">
      <c r="A277" t="inlineStr">
        <is>
          <t>L_OP4_ROI</t>
        </is>
      </c>
      <c r="B277" t="n">
        <v>-0.33</v>
      </c>
      <c r="C277" t="n">
        <v>1150</v>
      </c>
      <c r="D277" t="inlineStr">
        <is>
          <t>&lt; .001</t>
        </is>
      </c>
      <c r="E277" t="inlineStr">
        <is>
          <t>[-0.381, -0.278]</t>
        </is>
      </c>
      <c r="F277" t="inlineStr">
        <is>
          <t>&lt; .001</t>
        </is>
      </c>
      <c r="G277" t="inlineStr">
        <is>
          <t>✓</t>
        </is>
      </c>
    </row>
    <row r="278">
      <c r="A278" t="inlineStr">
        <is>
          <t>L_OP1_ROI</t>
        </is>
      </c>
      <c r="B278" t="n">
        <v>-0.292</v>
      </c>
      <c r="C278" t="n">
        <v>1150</v>
      </c>
      <c r="D278" t="inlineStr">
        <is>
          <t>&lt; .001</t>
        </is>
      </c>
      <c r="E278" t="inlineStr">
        <is>
          <t>[-0.344, -0.238]</t>
        </is>
      </c>
      <c r="F278" t="inlineStr">
        <is>
          <t>&lt; .001</t>
        </is>
      </c>
      <c r="G278" t="inlineStr">
        <is>
          <t>✓</t>
        </is>
      </c>
    </row>
    <row r="279">
      <c r="A279" t="inlineStr">
        <is>
          <t>L_OP2_3_ROI</t>
        </is>
      </c>
      <c r="B279" t="n">
        <v>-0.323</v>
      </c>
      <c r="C279" t="n">
        <v>1150</v>
      </c>
      <c r="D279" t="inlineStr">
        <is>
          <t>&lt; .001</t>
        </is>
      </c>
      <c r="E279" t="inlineStr">
        <is>
          <t>[-0.374, -0.270]</t>
        </is>
      </c>
      <c r="F279" t="inlineStr">
        <is>
          <t>&lt; .001</t>
        </is>
      </c>
      <c r="G279" t="inlineStr">
        <is>
          <t>✓</t>
        </is>
      </c>
    </row>
    <row r="280">
      <c r="A280" t="inlineStr">
        <is>
          <t>L_52_ROI</t>
        </is>
      </c>
      <c r="B280" t="n">
        <v>-0.287</v>
      </c>
      <c r="C280" t="n">
        <v>1150</v>
      </c>
      <c r="D280" t="inlineStr">
        <is>
          <t>&lt; .001</t>
        </is>
      </c>
      <c r="E280" t="inlineStr">
        <is>
          <t>[-0.339, -0.233]</t>
        </is>
      </c>
      <c r="F280" t="inlineStr">
        <is>
          <t>&lt; .001</t>
        </is>
      </c>
      <c r="G280" t="inlineStr">
        <is>
          <t>✓</t>
        </is>
      </c>
    </row>
    <row r="281">
      <c r="A281" t="inlineStr">
        <is>
          <t>L_RI_ROI</t>
        </is>
      </c>
      <c r="B281" t="n">
        <v>-0.418</v>
      </c>
      <c r="C281" t="n">
        <v>1150</v>
      </c>
      <c r="D281" t="inlineStr">
        <is>
          <t>&lt; .001</t>
        </is>
      </c>
      <c r="E281" t="inlineStr">
        <is>
          <t>[-0.465, -0.369]</t>
        </is>
      </c>
      <c r="F281" t="inlineStr">
        <is>
          <t>&lt; .001</t>
        </is>
      </c>
      <c r="G281" t="inlineStr">
        <is>
          <t>✓</t>
        </is>
      </c>
    </row>
    <row r="282">
      <c r="A282" t="inlineStr">
        <is>
          <t>L_PFcm_ROI</t>
        </is>
      </c>
      <c r="B282" t="n">
        <v>-0.348</v>
      </c>
      <c r="C282" t="n">
        <v>1150</v>
      </c>
      <c r="D282" t="inlineStr">
        <is>
          <t>&lt; .001</t>
        </is>
      </c>
      <c r="E282" t="inlineStr">
        <is>
          <t>[-0.398, -0.296]</t>
        </is>
      </c>
      <c r="F282" t="inlineStr">
        <is>
          <t>&lt; .001</t>
        </is>
      </c>
      <c r="G282" t="inlineStr">
        <is>
          <t>✓</t>
        </is>
      </c>
    </row>
    <row r="283">
      <c r="A283" t="inlineStr">
        <is>
          <t>L_PoI2_ROI</t>
        </is>
      </c>
      <c r="B283" t="n">
        <v>-0.189</v>
      </c>
      <c r="C283" t="n">
        <v>1150</v>
      </c>
      <c r="D283" t="inlineStr">
        <is>
          <t>&lt; .001</t>
        </is>
      </c>
      <c r="E283" t="inlineStr">
        <is>
          <t>[-0.244, -0.133]</t>
        </is>
      </c>
      <c r="F283" t="inlineStr">
        <is>
          <t>&lt; .001</t>
        </is>
      </c>
      <c r="G283" t="inlineStr">
        <is>
          <t>✓</t>
        </is>
      </c>
    </row>
    <row r="284">
      <c r="A284" t="inlineStr">
        <is>
          <t>L_TA2_ROI</t>
        </is>
      </c>
      <c r="B284" t="n">
        <v>-0.309</v>
      </c>
      <c r="C284" t="n">
        <v>1150</v>
      </c>
      <c r="D284" t="inlineStr">
        <is>
          <t>&lt; .001</t>
        </is>
      </c>
      <c r="E284" t="inlineStr">
        <is>
          <t>[-0.360, -0.255]</t>
        </is>
      </c>
      <c r="F284" t="inlineStr">
        <is>
          <t>&lt; .001</t>
        </is>
      </c>
      <c r="G284" t="inlineStr">
        <is>
          <t>✓</t>
        </is>
      </c>
    </row>
    <row r="285">
      <c r="A285" t="inlineStr">
        <is>
          <t>L_FOP4_ROI</t>
        </is>
      </c>
      <c r="B285" t="n">
        <v>-0.384</v>
      </c>
      <c r="C285" t="n">
        <v>1150</v>
      </c>
      <c r="D285" t="inlineStr">
        <is>
          <t>&lt; .001</t>
        </is>
      </c>
      <c r="E285" t="inlineStr">
        <is>
          <t>[-0.432, -0.333]</t>
        </is>
      </c>
      <c r="F285" t="inlineStr">
        <is>
          <t>&lt; .001</t>
        </is>
      </c>
      <c r="G285" t="inlineStr">
        <is>
          <t>✓</t>
        </is>
      </c>
    </row>
    <row r="286">
      <c r="A286" t="inlineStr">
        <is>
          <t>L_MI_ROI</t>
        </is>
      </c>
      <c r="B286" t="n">
        <v>-0.38</v>
      </c>
      <c r="C286" t="n">
        <v>1150</v>
      </c>
      <c r="D286" t="inlineStr">
        <is>
          <t>&lt; .001</t>
        </is>
      </c>
      <c r="E286" t="inlineStr">
        <is>
          <t>[-0.429, -0.330]</t>
        </is>
      </c>
      <c r="F286" t="inlineStr">
        <is>
          <t>&lt; .001</t>
        </is>
      </c>
      <c r="G286" t="inlineStr">
        <is>
          <t>✓</t>
        </is>
      </c>
    </row>
    <row r="287">
      <c r="A287" t="inlineStr">
        <is>
          <t>L_Pir_ROI</t>
        </is>
      </c>
      <c r="B287" t="n">
        <v>-0.065</v>
      </c>
      <c r="C287" t="n">
        <v>1150</v>
      </c>
      <c r="D287">
        <f> 0.028</f>
        <v/>
      </c>
      <c r="E287" t="inlineStr">
        <is>
          <t>[-0.122, -0.007]</t>
        </is>
      </c>
      <c r="F287">
        <f> 0.029</f>
        <v/>
      </c>
      <c r="G287" t="inlineStr">
        <is>
          <t>✓</t>
        </is>
      </c>
    </row>
    <row r="288">
      <c r="A288" t="inlineStr">
        <is>
          <t>L_AVI_ROI</t>
        </is>
      </c>
      <c r="B288" t="n">
        <v>-0.302</v>
      </c>
      <c r="C288" t="n">
        <v>1150</v>
      </c>
      <c r="D288" t="inlineStr">
        <is>
          <t>&lt; .001</t>
        </is>
      </c>
      <c r="E288" t="inlineStr">
        <is>
          <t>[-0.354, -0.249]</t>
        </is>
      </c>
      <c r="F288" t="inlineStr">
        <is>
          <t>&lt; .001</t>
        </is>
      </c>
      <c r="G288" t="inlineStr">
        <is>
          <t>✓</t>
        </is>
      </c>
    </row>
    <row r="289">
      <c r="A289" t="inlineStr">
        <is>
          <t>L_AAIC_ROI</t>
        </is>
      </c>
      <c r="B289" t="n">
        <v>-0.219</v>
      </c>
      <c r="C289" t="n">
        <v>1150</v>
      </c>
      <c r="D289" t="inlineStr">
        <is>
          <t>&lt; .001</t>
        </is>
      </c>
      <c r="E289" t="inlineStr">
        <is>
          <t>[-0.273, -0.163]</t>
        </is>
      </c>
      <c r="F289" t="inlineStr">
        <is>
          <t>&lt; .001</t>
        </is>
      </c>
      <c r="G289" t="inlineStr">
        <is>
          <t>✓</t>
        </is>
      </c>
    </row>
    <row r="290">
      <c r="A290" t="inlineStr">
        <is>
          <t>L_FOP1_ROI</t>
        </is>
      </c>
      <c r="B290" t="n">
        <v>-0.346</v>
      </c>
      <c r="C290" t="n">
        <v>1150</v>
      </c>
      <c r="D290" t="inlineStr">
        <is>
          <t>&lt; .001</t>
        </is>
      </c>
      <c r="E290" t="inlineStr">
        <is>
          <t>[-0.396, -0.294]</t>
        </is>
      </c>
      <c r="F290" t="inlineStr">
        <is>
          <t>&lt; .001</t>
        </is>
      </c>
      <c r="G290" t="inlineStr">
        <is>
          <t>✓</t>
        </is>
      </c>
    </row>
    <row r="291">
      <c r="A291" t="inlineStr">
        <is>
          <t>L_FOP3_ROI</t>
        </is>
      </c>
      <c r="B291" t="n">
        <v>-0.199</v>
      </c>
      <c r="C291" t="n">
        <v>1150</v>
      </c>
      <c r="D291" t="inlineStr">
        <is>
          <t>&lt; .001</t>
        </is>
      </c>
      <c r="E291" t="inlineStr">
        <is>
          <t>[-0.254, -0.143]</t>
        </is>
      </c>
      <c r="F291" t="inlineStr">
        <is>
          <t>&lt; .001</t>
        </is>
      </c>
      <c r="G291" t="inlineStr">
        <is>
          <t>✓</t>
        </is>
      </c>
    </row>
    <row r="292">
      <c r="A292" t="inlineStr">
        <is>
          <t>L_FOP2_ROI</t>
        </is>
      </c>
      <c r="B292" t="n">
        <v>-0.22</v>
      </c>
      <c r="C292" t="n">
        <v>1150</v>
      </c>
      <c r="D292" t="inlineStr">
        <is>
          <t>&lt; .001</t>
        </is>
      </c>
      <c r="E292" t="inlineStr">
        <is>
          <t>[-0.274, -0.164]</t>
        </is>
      </c>
      <c r="F292" t="inlineStr">
        <is>
          <t>&lt; .001</t>
        </is>
      </c>
      <c r="G292" t="inlineStr">
        <is>
          <t>✓</t>
        </is>
      </c>
    </row>
    <row r="293">
      <c r="A293" t="inlineStr">
        <is>
          <t>L_PFt_ROI</t>
        </is>
      </c>
      <c r="B293" t="n">
        <v>-0.395</v>
      </c>
      <c r="C293" t="n">
        <v>1150</v>
      </c>
      <c r="D293" t="inlineStr">
        <is>
          <t>&lt; .001</t>
        </is>
      </c>
      <c r="E293" t="inlineStr">
        <is>
          <t>[-0.443, -0.345]</t>
        </is>
      </c>
      <c r="F293" t="inlineStr">
        <is>
          <t>&lt; .001</t>
        </is>
      </c>
      <c r="G293" t="inlineStr">
        <is>
          <t>✓</t>
        </is>
      </c>
    </row>
    <row r="294">
      <c r="A294" t="inlineStr">
        <is>
          <t>L_AIP_ROI</t>
        </is>
      </c>
      <c r="B294" t="n">
        <v>-0.414</v>
      </c>
      <c r="C294" t="n">
        <v>1150</v>
      </c>
      <c r="D294" t="inlineStr">
        <is>
          <t>&lt; .001</t>
        </is>
      </c>
      <c r="E294" t="inlineStr">
        <is>
          <t>[-0.461, -0.365]</t>
        </is>
      </c>
      <c r="F294" t="inlineStr">
        <is>
          <t>&lt; .001</t>
        </is>
      </c>
      <c r="G294" t="inlineStr">
        <is>
          <t>✓</t>
        </is>
      </c>
    </row>
    <row r="295">
      <c r="A295" t="inlineStr">
        <is>
          <t>L_EC_ROI</t>
        </is>
      </c>
      <c r="B295" t="n">
        <v>-0.158</v>
      </c>
      <c r="C295" t="n">
        <v>1150</v>
      </c>
      <c r="D295" t="inlineStr">
        <is>
          <t>&lt; .001</t>
        </is>
      </c>
      <c r="E295" t="inlineStr">
        <is>
          <t>[-0.214, -0.101]</t>
        </is>
      </c>
      <c r="F295" t="inlineStr">
        <is>
          <t>&lt; .001</t>
        </is>
      </c>
      <c r="G295" t="inlineStr">
        <is>
          <t>✓</t>
        </is>
      </c>
    </row>
    <row r="296">
      <c r="A296" t="inlineStr">
        <is>
          <t>L_PreS_ROI</t>
        </is>
      </c>
      <c r="B296" t="n">
        <v>0.096</v>
      </c>
      <c r="C296" t="n">
        <v>1150</v>
      </c>
      <c r="D296">
        <f> 0.001</f>
        <v/>
      </c>
      <c r="E296" t="inlineStr">
        <is>
          <t>[0.038, 0.153]</t>
        </is>
      </c>
      <c r="F296">
        <f> 0.001</f>
        <v/>
      </c>
      <c r="G296" t="inlineStr">
        <is>
          <t>✓</t>
        </is>
      </c>
    </row>
    <row r="297">
      <c r="A297" t="inlineStr">
        <is>
          <t>L_ProS_ROI</t>
        </is>
      </c>
      <c r="B297" t="n">
        <v>-0.411</v>
      </c>
      <c r="C297" t="n">
        <v>1150</v>
      </c>
      <c r="D297" t="inlineStr">
        <is>
          <t>&lt; .001</t>
        </is>
      </c>
      <c r="E297" t="inlineStr">
        <is>
          <t>[-0.458, -0.362]</t>
        </is>
      </c>
      <c r="F297" t="inlineStr">
        <is>
          <t>&lt; .001</t>
        </is>
      </c>
      <c r="G297" t="inlineStr">
        <is>
          <t>✓</t>
        </is>
      </c>
    </row>
    <row r="298">
      <c r="A298" t="inlineStr">
        <is>
          <t>L_PeEc_ROI</t>
        </is>
      </c>
      <c r="B298" t="n">
        <v>-0.341</v>
      </c>
      <c r="C298" t="n">
        <v>1150</v>
      </c>
      <c r="D298" t="inlineStr">
        <is>
          <t>&lt; .001</t>
        </is>
      </c>
      <c r="E298" t="inlineStr">
        <is>
          <t>[-0.391, -0.289]</t>
        </is>
      </c>
      <c r="F298" t="inlineStr">
        <is>
          <t>&lt; .001</t>
        </is>
      </c>
      <c r="G298" t="inlineStr">
        <is>
          <t>✓</t>
        </is>
      </c>
    </row>
    <row r="299">
      <c r="A299" t="inlineStr">
        <is>
          <t>L_STGa_ROI</t>
        </is>
      </c>
      <c r="B299" t="n">
        <v>-0.314</v>
      </c>
      <c r="C299" t="n">
        <v>1150</v>
      </c>
      <c r="D299" t="inlineStr">
        <is>
          <t>&lt; .001</t>
        </is>
      </c>
      <c r="E299" t="inlineStr">
        <is>
          <t>[-0.365, -0.261]</t>
        </is>
      </c>
      <c r="F299" t="inlineStr">
        <is>
          <t>&lt; .001</t>
        </is>
      </c>
      <c r="G299" t="inlineStr">
        <is>
          <t>✓</t>
        </is>
      </c>
    </row>
    <row r="300">
      <c r="A300" t="inlineStr">
        <is>
          <t>L_PBelt_ROI</t>
        </is>
      </c>
      <c r="B300" t="n">
        <v>-0.408</v>
      </c>
      <c r="C300" t="n">
        <v>1150</v>
      </c>
      <c r="D300" t="inlineStr">
        <is>
          <t>&lt; .001</t>
        </is>
      </c>
      <c r="E300" t="inlineStr">
        <is>
          <t>[-0.455, -0.359]</t>
        </is>
      </c>
      <c r="F300" t="inlineStr">
        <is>
          <t>&lt; .001</t>
        </is>
      </c>
      <c r="G300" t="inlineStr">
        <is>
          <t>✓</t>
        </is>
      </c>
    </row>
    <row r="301">
      <c r="A301" t="inlineStr">
        <is>
          <t>L_A5_ROI</t>
        </is>
      </c>
      <c r="B301" t="n">
        <v>-0.464</v>
      </c>
      <c r="C301" t="n">
        <v>1150</v>
      </c>
      <c r="D301" t="inlineStr">
        <is>
          <t>&lt; .001</t>
        </is>
      </c>
      <c r="E301" t="inlineStr">
        <is>
          <t>[-0.508, -0.418]</t>
        </is>
      </c>
      <c r="F301" t="inlineStr">
        <is>
          <t>&lt; .001</t>
        </is>
      </c>
      <c r="G301" t="inlineStr">
        <is>
          <t>✓</t>
        </is>
      </c>
    </row>
    <row r="302">
      <c r="A302" t="inlineStr">
        <is>
          <t>L_PHA1_ROI</t>
        </is>
      </c>
      <c r="B302" t="n">
        <v>-0.321</v>
      </c>
      <c r="C302" t="n">
        <v>1150</v>
      </c>
      <c r="D302" t="inlineStr">
        <is>
          <t>&lt; .001</t>
        </is>
      </c>
      <c r="E302" t="inlineStr">
        <is>
          <t>[-0.372, -0.268]</t>
        </is>
      </c>
      <c r="F302" t="inlineStr">
        <is>
          <t>&lt; .001</t>
        </is>
      </c>
      <c r="G302" t="inlineStr">
        <is>
          <t>✓</t>
        </is>
      </c>
    </row>
    <row r="303">
      <c r="A303" t="inlineStr">
        <is>
          <t>L_PHA3_ROI</t>
        </is>
      </c>
      <c r="B303" t="n">
        <v>-0.256</v>
      </c>
      <c r="C303" t="n">
        <v>1150</v>
      </c>
      <c r="D303" t="inlineStr">
        <is>
          <t>&lt; .001</t>
        </is>
      </c>
      <c r="E303" t="inlineStr">
        <is>
          <t>[-0.309, -0.201]</t>
        </is>
      </c>
      <c r="F303" t="inlineStr">
        <is>
          <t>&lt; .001</t>
        </is>
      </c>
      <c r="G303" t="inlineStr">
        <is>
          <t>✓</t>
        </is>
      </c>
    </row>
    <row r="304">
      <c r="A304" t="inlineStr">
        <is>
          <t>L_STSda_ROI</t>
        </is>
      </c>
      <c r="B304" t="n">
        <v>-0.394</v>
      </c>
      <c r="C304" t="n">
        <v>1150</v>
      </c>
      <c r="D304" t="inlineStr">
        <is>
          <t>&lt; .001</t>
        </is>
      </c>
      <c r="E304" t="inlineStr">
        <is>
          <t>[-0.442, -0.344]</t>
        </is>
      </c>
      <c r="F304" t="inlineStr">
        <is>
          <t>&lt; .001</t>
        </is>
      </c>
      <c r="G304" t="inlineStr">
        <is>
          <t>✓</t>
        </is>
      </c>
    </row>
    <row r="305">
      <c r="A305" t="inlineStr">
        <is>
          <t>L_STSdp_ROI</t>
        </is>
      </c>
      <c r="B305" t="n">
        <v>-0.397</v>
      </c>
      <c r="C305" t="n">
        <v>1150</v>
      </c>
      <c r="D305" t="inlineStr">
        <is>
          <t>&lt; .001</t>
        </is>
      </c>
      <c r="E305" t="inlineStr">
        <is>
          <t>[-0.445, -0.347]</t>
        </is>
      </c>
      <c r="F305" t="inlineStr">
        <is>
          <t>&lt; .001</t>
        </is>
      </c>
      <c r="G305" t="inlineStr">
        <is>
          <t>✓</t>
        </is>
      </c>
    </row>
    <row r="306">
      <c r="A306" t="inlineStr">
        <is>
          <t>L_STSvp_ROI</t>
        </is>
      </c>
      <c r="B306" t="n">
        <v>-0.365</v>
      </c>
      <c r="C306" t="n">
        <v>1150</v>
      </c>
      <c r="D306" t="inlineStr">
        <is>
          <t>&lt; .001</t>
        </is>
      </c>
      <c r="E306" t="inlineStr">
        <is>
          <t>[-0.414, -0.314]</t>
        </is>
      </c>
      <c r="F306" t="inlineStr">
        <is>
          <t>&lt; .001</t>
        </is>
      </c>
      <c r="G306" t="inlineStr">
        <is>
          <t>✓</t>
        </is>
      </c>
    </row>
    <row r="307">
      <c r="A307" t="inlineStr">
        <is>
          <t>L_TGd_ROI</t>
        </is>
      </c>
      <c r="B307" t="n">
        <v>-0.443</v>
      </c>
      <c r="C307" t="n">
        <v>1150</v>
      </c>
      <c r="D307" t="inlineStr">
        <is>
          <t>&lt; .001</t>
        </is>
      </c>
      <c r="E307" t="inlineStr">
        <is>
          <t>[-0.488, -0.395]</t>
        </is>
      </c>
      <c r="F307" t="inlineStr">
        <is>
          <t>&lt; .001</t>
        </is>
      </c>
      <c r="G307" t="inlineStr">
        <is>
          <t>✓</t>
        </is>
      </c>
    </row>
    <row r="308">
      <c r="A308" t="inlineStr">
        <is>
          <t>L_TE1a_ROI</t>
        </is>
      </c>
      <c r="B308" t="n">
        <v>-0.444</v>
      </c>
      <c r="C308" t="n">
        <v>1150</v>
      </c>
      <c r="D308" t="inlineStr">
        <is>
          <t>&lt; .001</t>
        </is>
      </c>
      <c r="E308" t="inlineStr">
        <is>
          <t>[-0.489, -0.396]</t>
        </is>
      </c>
      <c r="F308" t="inlineStr">
        <is>
          <t>&lt; .001</t>
        </is>
      </c>
      <c r="G308" t="inlineStr">
        <is>
          <t>✓</t>
        </is>
      </c>
    </row>
    <row r="309">
      <c r="A309" t="inlineStr">
        <is>
          <t>L_TE1p_ROI</t>
        </is>
      </c>
      <c r="B309" t="n">
        <v>-0.391</v>
      </c>
      <c r="C309" t="n">
        <v>1150</v>
      </c>
      <c r="D309" t="inlineStr">
        <is>
          <t>&lt; .001</t>
        </is>
      </c>
      <c r="E309" t="inlineStr">
        <is>
          <t>[-0.439, -0.341]</t>
        </is>
      </c>
      <c r="F309" t="inlineStr">
        <is>
          <t>&lt; .001</t>
        </is>
      </c>
      <c r="G309" t="inlineStr">
        <is>
          <t>✓</t>
        </is>
      </c>
    </row>
    <row r="310">
      <c r="A310" t="inlineStr">
        <is>
          <t>L_TE2a_ROI</t>
        </is>
      </c>
      <c r="B310" t="n">
        <v>-0.385</v>
      </c>
      <c r="C310" t="n">
        <v>1150</v>
      </c>
      <c r="D310" t="inlineStr">
        <is>
          <t>&lt; .001</t>
        </is>
      </c>
      <c r="E310" t="inlineStr">
        <is>
          <t>[-0.433, -0.335]</t>
        </is>
      </c>
      <c r="F310" t="inlineStr">
        <is>
          <t>&lt; .001</t>
        </is>
      </c>
      <c r="G310" t="inlineStr">
        <is>
          <t>✓</t>
        </is>
      </c>
    </row>
    <row r="311">
      <c r="A311" t="inlineStr">
        <is>
          <t>L_TF_ROI</t>
        </is>
      </c>
      <c r="B311" t="n">
        <v>-0.355</v>
      </c>
      <c r="C311" t="n">
        <v>1150</v>
      </c>
      <c r="D311" t="inlineStr">
        <is>
          <t>&lt; .001</t>
        </is>
      </c>
      <c r="E311" t="inlineStr">
        <is>
          <t>[-0.404, -0.303]</t>
        </is>
      </c>
      <c r="F311" t="inlineStr">
        <is>
          <t>&lt; .001</t>
        </is>
      </c>
      <c r="G311" t="inlineStr">
        <is>
          <t>✓</t>
        </is>
      </c>
    </row>
    <row r="312">
      <c r="A312" t="inlineStr">
        <is>
          <t>L_TE2p_ROI</t>
        </is>
      </c>
      <c r="B312" t="n">
        <v>-0.329</v>
      </c>
      <c r="C312" t="n">
        <v>1150</v>
      </c>
      <c r="D312" t="inlineStr">
        <is>
          <t>&lt; .001</t>
        </is>
      </c>
      <c r="E312" t="inlineStr">
        <is>
          <t>[-0.379, -0.276]</t>
        </is>
      </c>
      <c r="F312" t="inlineStr">
        <is>
          <t>&lt; .001</t>
        </is>
      </c>
      <c r="G312" t="inlineStr">
        <is>
          <t>✓</t>
        </is>
      </c>
    </row>
    <row r="313">
      <c r="A313" t="inlineStr">
        <is>
          <t>L_PHT_ROI</t>
        </is>
      </c>
      <c r="B313" t="n">
        <v>-0.282</v>
      </c>
      <c r="C313" t="n">
        <v>1150</v>
      </c>
      <c r="D313" t="inlineStr">
        <is>
          <t>&lt; .001</t>
        </is>
      </c>
      <c r="E313" t="inlineStr">
        <is>
          <t>[-0.334, -0.228]</t>
        </is>
      </c>
      <c r="F313" t="inlineStr">
        <is>
          <t>&lt; .001</t>
        </is>
      </c>
      <c r="G313" t="inlineStr">
        <is>
          <t>✓</t>
        </is>
      </c>
    </row>
    <row r="314">
      <c r="A314" t="inlineStr">
        <is>
          <t>L_PH_ROI</t>
        </is>
      </c>
      <c r="B314" t="n">
        <v>-0.329</v>
      </c>
      <c r="C314" t="n">
        <v>1150</v>
      </c>
      <c r="D314" t="inlineStr">
        <is>
          <t>&lt; .001</t>
        </is>
      </c>
      <c r="E314" t="inlineStr">
        <is>
          <t>[-0.379, -0.276]</t>
        </is>
      </c>
      <c r="F314" t="inlineStr">
        <is>
          <t>&lt; .001</t>
        </is>
      </c>
      <c r="G314" t="inlineStr">
        <is>
          <t>✓</t>
        </is>
      </c>
    </row>
    <row r="315">
      <c r="A315" t="inlineStr">
        <is>
          <t>L_TPOJ1_ROI</t>
        </is>
      </c>
      <c r="B315" t="n">
        <v>-0.337</v>
      </c>
      <c r="C315" t="n">
        <v>1150</v>
      </c>
      <c r="D315" t="inlineStr">
        <is>
          <t>&lt; .001</t>
        </is>
      </c>
      <c r="E315" t="inlineStr">
        <is>
          <t>[-0.388, -0.285]</t>
        </is>
      </c>
      <c r="F315" t="inlineStr">
        <is>
          <t>&lt; .001</t>
        </is>
      </c>
      <c r="G315" t="inlineStr">
        <is>
          <t>✓</t>
        </is>
      </c>
    </row>
    <row r="316">
      <c r="A316" t="inlineStr">
        <is>
          <t>L_TPOJ2_ROI</t>
        </is>
      </c>
      <c r="B316" t="n">
        <v>-0.375</v>
      </c>
      <c r="C316" t="n">
        <v>1150</v>
      </c>
      <c r="D316" t="inlineStr">
        <is>
          <t>&lt; .001</t>
        </is>
      </c>
      <c r="E316" t="inlineStr">
        <is>
          <t>[-0.424, -0.324]</t>
        </is>
      </c>
      <c r="F316" t="inlineStr">
        <is>
          <t>&lt; .001</t>
        </is>
      </c>
      <c r="G316" t="inlineStr">
        <is>
          <t>✓</t>
        </is>
      </c>
    </row>
    <row r="317">
      <c r="A317" t="inlineStr">
        <is>
          <t>L_TPOJ3_ROI</t>
        </is>
      </c>
      <c r="B317" t="n">
        <v>-0.368</v>
      </c>
      <c r="C317" t="n">
        <v>1150</v>
      </c>
      <c r="D317" t="inlineStr">
        <is>
          <t>&lt; .001</t>
        </is>
      </c>
      <c r="E317" t="inlineStr">
        <is>
          <t>[-0.417, -0.317]</t>
        </is>
      </c>
      <c r="F317" t="inlineStr">
        <is>
          <t>&lt; .001</t>
        </is>
      </c>
      <c r="G317" t="inlineStr">
        <is>
          <t>✓</t>
        </is>
      </c>
    </row>
    <row r="318">
      <c r="A318" t="inlineStr">
        <is>
          <t>L_DVT_ROI</t>
        </is>
      </c>
      <c r="B318" t="n">
        <v>-0.389</v>
      </c>
      <c r="C318" t="n">
        <v>1150</v>
      </c>
      <c r="D318" t="inlineStr">
        <is>
          <t>&lt; .001</t>
        </is>
      </c>
      <c r="E318" t="inlineStr">
        <is>
          <t>[-0.437, -0.338]</t>
        </is>
      </c>
      <c r="F318" t="inlineStr">
        <is>
          <t>&lt; .001</t>
        </is>
      </c>
      <c r="G318" t="inlineStr">
        <is>
          <t>✓</t>
        </is>
      </c>
    </row>
    <row r="319">
      <c r="A319" t="inlineStr">
        <is>
          <t>L_PGp_ROI</t>
        </is>
      </c>
      <c r="B319" t="n">
        <v>-0.377</v>
      </c>
      <c r="C319" t="n">
        <v>1150</v>
      </c>
      <c r="D319" t="inlineStr">
        <is>
          <t>&lt; .001</t>
        </is>
      </c>
      <c r="E319" t="inlineStr">
        <is>
          <t>[-0.425, -0.326]</t>
        </is>
      </c>
      <c r="F319" t="inlineStr">
        <is>
          <t>&lt; .001</t>
        </is>
      </c>
      <c r="G319" t="inlineStr">
        <is>
          <t>✓</t>
        </is>
      </c>
    </row>
    <row r="320">
      <c r="A320" t="inlineStr">
        <is>
          <t>L_IP2_ROI</t>
        </is>
      </c>
      <c r="B320" t="n">
        <v>-0.399</v>
      </c>
      <c r="C320" t="n">
        <v>1150</v>
      </c>
      <c r="D320" t="inlineStr">
        <is>
          <t>&lt; .001</t>
        </is>
      </c>
      <c r="E320" t="inlineStr">
        <is>
          <t>[-0.446, -0.349]</t>
        </is>
      </c>
      <c r="F320" t="inlineStr">
        <is>
          <t>&lt; .001</t>
        </is>
      </c>
      <c r="G320" t="inlineStr">
        <is>
          <t>✓</t>
        </is>
      </c>
    </row>
    <row r="321">
      <c r="A321" t="inlineStr">
        <is>
          <t>L_IP1_ROI</t>
        </is>
      </c>
      <c r="B321" t="n">
        <v>-0.204</v>
      </c>
      <c r="C321" t="n">
        <v>1150</v>
      </c>
      <c r="D321" t="inlineStr">
        <is>
          <t>&lt; .001</t>
        </is>
      </c>
      <c r="E321" t="inlineStr">
        <is>
          <t>[-0.258, -0.147]</t>
        </is>
      </c>
      <c r="F321" t="inlineStr">
        <is>
          <t>&lt; .001</t>
        </is>
      </c>
      <c r="G321" t="inlineStr">
        <is>
          <t>✓</t>
        </is>
      </c>
    </row>
    <row r="322">
      <c r="A322" t="inlineStr">
        <is>
          <t>L_IP0_ROI</t>
        </is>
      </c>
      <c r="B322" t="n">
        <v>-0.242</v>
      </c>
      <c r="C322" t="n">
        <v>1150</v>
      </c>
      <c r="D322" t="inlineStr">
        <is>
          <t>&lt; .001</t>
        </is>
      </c>
      <c r="E322" t="inlineStr">
        <is>
          <t>[-0.296, -0.187]</t>
        </is>
      </c>
      <c r="F322" t="inlineStr">
        <is>
          <t>&lt; .001</t>
        </is>
      </c>
      <c r="G322" t="inlineStr">
        <is>
          <t>✓</t>
        </is>
      </c>
    </row>
    <row r="323">
      <c r="A323" t="inlineStr">
        <is>
          <t>L_PFop_ROI</t>
        </is>
      </c>
      <c r="B323" t="n">
        <v>-0.303</v>
      </c>
      <c r="C323" t="n">
        <v>1150</v>
      </c>
      <c r="D323" t="inlineStr">
        <is>
          <t>&lt; .001</t>
        </is>
      </c>
      <c r="E323" t="inlineStr">
        <is>
          <t>[-0.355, -0.250]</t>
        </is>
      </c>
      <c r="F323" t="inlineStr">
        <is>
          <t>&lt; .001</t>
        </is>
      </c>
      <c r="G323" t="inlineStr">
        <is>
          <t>✓</t>
        </is>
      </c>
    </row>
    <row r="324">
      <c r="A324" t="inlineStr">
        <is>
          <t>L_PF_ROI</t>
        </is>
      </c>
      <c r="B324" t="n">
        <v>-0.407</v>
      </c>
      <c r="C324" t="n">
        <v>1150</v>
      </c>
      <c r="D324" t="inlineStr">
        <is>
          <t>&lt; .001</t>
        </is>
      </c>
      <c r="E324" t="inlineStr">
        <is>
          <t>[-0.454, -0.358]</t>
        </is>
      </c>
      <c r="F324" t="inlineStr">
        <is>
          <t>&lt; .001</t>
        </is>
      </c>
      <c r="G324" t="inlineStr">
        <is>
          <t>✓</t>
        </is>
      </c>
    </row>
    <row r="325">
      <c r="A325" t="inlineStr">
        <is>
          <t>L_PFm_ROI</t>
        </is>
      </c>
      <c r="B325" t="n">
        <v>-0.415</v>
      </c>
      <c r="C325" t="n">
        <v>1150</v>
      </c>
      <c r="D325" t="inlineStr">
        <is>
          <t>&lt; .001</t>
        </is>
      </c>
      <c r="E325" t="inlineStr">
        <is>
          <t>[-0.462, -0.366]</t>
        </is>
      </c>
      <c r="F325" t="inlineStr">
        <is>
          <t>&lt; .001</t>
        </is>
      </c>
      <c r="G325" t="inlineStr">
        <is>
          <t>✓</t>
        </is>
      </c>
    </row>
    <row r="326">
      <c r="A326" t="inlineStr">
        <is>
          <t>L_PGi_ROI</t>
        </is>
      </c>
      <c r="B326" t="n">
        <v>-0.398</v>
      </c>
      <c r="C326" t="n">
        <v>1150</v>
      </c>
      <c r="D326" t="inlineStr">
        <is>
          <t>&lt; .001</t>
        </is>
      </c>
      <c r="E326" t="inlineStr">
        <is>
          <t>[-0.445, -0.348]</t>
        </is>
      </c>
      <c r="F326" t="inlineStr">
        <is>
          <t>&lt; .001</t>
        </is>
      </c>
      <c r="G326" t="inlineStr">
        <is>
          <t>✓</t>
        </is>
      </c>
    </row>
    <row r="327">
      <c r="A327" t="inlineStr">
        <is>
          <t>L_PGs_ROI</t>
        </is>
      </c>
      <c r="B327" t="n">
        <v>-0.333</v>
      </c>
      <c r="C327" t="n">
        <v>1150</v>
      </c>
      <c r="D327" t="inlineStr">
        <is>
          <t>&lt; .001</t>
        </is>
      </c>
      <c r="E327" t="inlineStr">
        <is>
          <t>[-0.384, -0.281]</t>
        </is>
      </c>
      <c r="F327" t="inlineStr">
        <is>
          <t>&lt; .001</t>
        </is>
      </c>
      <c r="G327" t="inlineStr">
        <is>
          <t>✓</t>
        </is>
      </c>
    </row>
    <row r="328">
      <c r="A328" t="inlineStr">
        <is>
          <t>L_V6A_ROI</t>
        </is>
      </c>
      <c r="B328" t="n">
        <v>-0.322</v>
      </c>
      <c r="C328" t="n">
        <v>1150</v>
      </c>
      <c r="D328" t="inlineStr">
        <is>
          <t>&lt; .001</t>
        </is>
      </c>
      <c r="E328" t="inlineStr">
        <is>
          <t>[-0.373, -0.270]</t>
        </is>
      </c>
      <c r="F328" t="inlineStr">
        <is>
          <t>&lt; .001</t>
        </is>
      </c>
      <c r="G328" t="inlineStr">
        <is>
          <t>✓</t>
        </is>
      </c>
    </row>
    <row r="329">
      <c r="A329" t="inlineStr">
        <is>
          <t>L_VMV1_ROI</t>
        </is>
      </c>
      <c r="B329" t="n">
        <v>-0.362</v>
      </c>
      <c r="C329" t="n">
        <v>1150</v>
      </c>
      <c r="D329" t="inlineStr">
        <is>
          <t>&lt; .001</t>
        </is>
      </c>
      <c r="E329" t="inlineStr">
        <is>
          <t>[-0.411, -0.310]</t>
        </is>
      </c>
      <c r="F329" t="inlineStr">
        <is>
          <t>&lt; .001</t>
        </is>
      </c>
      <c r="G329" t="inlineStr">
        <is>
          <t>✓</t>
        </is>
      </c>
    </row>
    <row r="330">
      <c r="A330" t="inlineStr">
        <is>
          <t>L_VMV3_ROI</t>
        </is>
      </c>
      <c r="B330" t="n">
        <v>-0.319</v>
      </c>
      <c r="C330" t="n">
        <v>1150</v>
      </c>
      <c r="D330" t="inlineStr">
        <is>
          <t>&lt; .001</t>
        </is>
      </c>
      <c r="E330" t="inlineStr">
        <is>
          <t>[-0.370, -0.266]</t>
        </is>
      </c>
      <c r="F330" t="inlineStr">
        <is>
          <t>&lt; .001</t>
        </is>
      </c>
      <c r="G330" t="inlineStr">
        <is>
          <t>✓</t>
        </is>
      </c>
    </row>
    <row r="331">
      <c r="A331" t="inlineStr">
        <is>
          <t>L_PHA2_ROI</t>
        </is>
      </c>
      <c r="B331" t="n">
        <v>-0.43</v>
      </c>
      <c r="C331" t="n">
        <v>1150</v>
      </c>
      <c r="D331" t="inlineStr">
        <is>
          <t>&lt; .001</t>
        </is>
      </c>
      <c r="E331" t="inlineStr">
        <is>
          <t>[-0.476, -0.381]</t>
        </is>
      </c>
      <c r="F331" t="inlineStr">
        <is>
          <t>&lt; .001</t>
        </is>
      </c>
      <c r="G331" t="inlineStr">
        <is>
          <t>✓</t>
        </is>
      </c>
    </row>
    <row r="332">
      <c r="A332" t="inlineStr">
        <is>
          <t>L_V4t_ROI</t>
        </is>
      </c>
      <c r="B332" t="n">
        <v>-0.247</v>
      </c>
      <c r="C332" t="n">
        <v>1150</v>
      </c>
      <c r="D332" t="inlineStr">
        <is>
          <t>&lt; .001</t>
        </is>
      </c>
      <c r="E332" t="inlineStr">
        <is>
          <t>[-0.300, -0.192]</t>
        </is>
      </c>
      <c r="F332" t="inlineStr">
        <is>
          <t>&lt; .001</t>
        </is>
      </c>
      <c r="G332" t="inlineStr">
        <is>
          <t>✓</t>
        </is>
      </c>
    </row>
    <row r="333">
      <c r="A333" t="inlineStr">
        <is>
          <t>L_FST_ROI</t>
        </is>
      </c>
      <c r="B333" t="n">
        <v>-0.308</v>
      </c>
      <c r="C333" t="n">
        <v>1150</v>
      </c>
      <c r="D333" t="inlineStr">
        <is>
          <t>&lt; .001</t>
        </is>
      </c>
      <c r="E333" t="inlineStr">
        <is>
          <t>[-0.359, -0.255]</t>
        </is>
      </c>
      <c r="F333" t="inlineStr">
        <is>
          <t>&lt; .001</t>
        </is>
      </c>
      <c r="G333" t="inlineStr">
        <is>
          <t>✓</t>
        </is>
      </c>
    </row>
    <row r="334">
      <c r="A334" t="inlineStr">
        <is>
          <t>L_V3CD_ROI</t>
        </is>
      </c>
      <c r="B334" t="n">
        <v>-0.337</v>
      </c>
      <c r="C334" t="n">
        <v>1150</v>
      </c>
      <c r="D334" t="inlineStr">
        <is>
          <t>&lt; .001</t>
        </is>
      </c>
      <c r="E334" t="inlineStr">
        <is>
          <t>[-0.387, -0.285]</t>
        </is>
      </c>
      <c r="F334" t="inlineStr">
        <is>
          <t>&lt; .001</t>
        </is>
      </c>
      <c r="G334" t="inlineStr">
        <is>
          <t>✓</t>
        </is>
      </c>
    </row>
    <row r="335">
      <c r="A335" t="inlineStr">
        <is>
          <t>L_LO3_ROI</t>
        </is>
      </c>
      <c r="B335" t="n">
        <v>-0.319</v>
      </c>
      <c r="C335" t="n">
        <v>1150</v>
      </c>
      <c r="D335" t="inlineStr">
        <is>
          <t>&lt; .001</t>
        </is>
      </c>
      <c r="E335" t="inlineStr">
        <is>
          <t>[-0.370, -0.266]</t>
        </is>
      </c>
      <c r="F335" t="inlineStr">
        <is>
          <t>&lt; .001</t>
        </is>
      </c>
      <c r="G335" t="inlineStr">
        <is>
          <t>✓</t>
        </is>
      </c>
    </row>
    <row r="336">
      <c r="A336" t="inlineStr">
        <is>
          <t>L_VMV2_ROI</t>
        </is>
      </c>
      <c r="B336" t="n">
        <v>-0.375</v>
      </c>
      <c r="C336" t="n">
        <v>1150</v>
      </c>
      <c r="D336" t="inlineStr">
        <is>
          <t>&lt; .001</t>
        </is>
      </c>
      <c r="E336" t="inlineStr">
        <is>
          <t>[-0.424, -0.324]</t>
        </is>
      </c>
      <c r="F336" t="inlineStr">
        <is>
          <t>&lt; .001</t>
        </is>
      </c>
      <c r="G336" t="inlineStr">
        <is>
          <t>✓</t>
        </is>
      </c>
    </row>
    <row r="337">
      <c r="A337" t="inlineStr">
        <is>
          <t>L_31pd_ROI</t>
        </is>
      </c>
      <c r="B337" t="n">
        <v>-0.35</v>
      </c>
      <c r="C337" t="n">
        <v>1150</v>
      </c>
      <c r="D337" t="inlineStr">
        <is>
          <t>&lt; .001</t>
        </is>
      </c>
      <c r="E337" t="inlineStr">
        <is>
          <t>[-0.400, -0.298]</t>
        </is>
      </c>
      <c r="F337" t="inlineStr">
        <is>
          <t>&lt; .001</t>
        </is>
      </c>
      <c r="G337" t="inlineStr">
        <is>
          <t>✓</t>
        </is>
      </c>
    </row>
    <row r="338">
      <c r="A338" t="inlineStr">
        <is>
          <t>L_31a_ROI</t>
        </is>
      </c>
      <c r="B338" t="n">
        <v>-0.433</v>
      </c>
      <c r="C338" t="n">
        <v>1150</v>
      </c>
      <c r="D338" t="inlineStr">
        <is>
          <t>&lt; .001</t>
        </is>
      </c>
      <c r="E338" t="inlineStr">
        <is>
          <t>[-0.478, -0.384]</t>
        </is>
      </c>
      <c r="F338" t="inlineStr">
        <is>
          <t>&lt; .001</t>
        </is>
      </c>
      <c r="G338" t="inlineStr">
        <is>
          <t>✓</t>
        </is>
      </c>
    </row>
    <row r="339">
      <c r="A339" t="inlineStr">
        <is>
          <t>L_VVC_ROI</t>
        </is>
      </c>
      <c r="B339" t="n">
        <v>-0.38</v>
      </c>
      <c r="C339" t="n">
        <v>1150</v>
      </c>
      <c r="D339" t="inlineStr">
        <is>
          <t>&lt; .001</t>
        </is>
      </c>
      <c r="E339" t="inlineStr">
        <is>
          <t>[-0.428, -0.330]</t>
        </is>
      </c>
      <c r="F339" t="inlineStr">
        <is>
          <t>&lt; .001</t>
        </is>
      </c>
      <c r="G339" t="inlineStr">
        <is>
          <t>✓</t>
        </is>
      </c>
    </row>
    <row r="340">
      <c r="A340" t="inlineStr">
        <is>
          <t>L_25_ROI</t>
        </is>
      </c>
      <c r="B340" t="n">
        <v>-0.108</v>
      </c>
      <c r="C340" t="n">
        <v>1150</v>
      </c>
      <c r="D340" t="inlineStr">
        <is>
          <t>&lt; .001</t>
        </is>
      </c>
      <c r="E340" t="inlineStr">
        <is>
          <t>[-0.165, -0.051]</t>
        </is>
      </c>
      <c r="F340" t="inlineStr">
        <is>
          <t>&lt; .001</t>
        </is>
      </c>
      <c r="G340" t="inlineStr">
        <is>
          <t>✓</t>
        </is>
      </c>
    </row>
    <row r="341">
      <c r="A341" t="inlineStr">
        <is>
          <t>L_s32_ROI</t>
        </is>
      </c>
      <c r="B341" t="n">
        <v>0.153</v>
      </c>
      <c r="C341" t="n">
        <v>1150</v>
      </c>
      <c r="D341" t="inlineStr">
        <is>
          <t>&lt; .001</t>
        </is>
      </c>
      <c r="E341" t="inlineStr">
        <is>
          <t>[0.096, 0.209]</t>
        </is>
      </c>
      <c r="F341" t="inlineStr">
        <is>
          <t>&lt; .001</t>
        </is>
      </c>
      <c r="G341" t="inlineStr">
        <is>
          <t>✓</t>
        </is>
      </c>
    </row>
    <row r="342">
      <c r="A342" t="inlineStr">
        <is>
          <t>L_pOFC_ROI</t>
        </is>
      </c>
      <c r="B342" t="n">
        <v>-0.204</v>
      </c>
      <c r="C342" t="n">
        <v>1150</v>
      </c>
      <c r="D342" t="inlineStr">
        <is>
          <t>&lt; .001</t>
        </is>
      </c>
      <c r="E342" t="inlineStr">
        <is>
          <t>[-0.258, -0.148]</t>
        </is>
      </c>
      <c r="F342" t="inlineStr">
        <is>
          <t>&lt; .001</t>
        </is>
      </c>
      <c r="G342" t="inlineStr">
        <is>
          <t>✓</t>
        </is>
      </c>
    </row>
    <row r="343">
      <c r="A343" t="inlineStr">
        <is>
          <t>L_PoI1_ROI</t>
        </is>
      </c>
      <c r="B343" t="n">
        <v>-0.196</v>
      </c>
      <c r="C343" t="n">
        <v>1150</v>
      </c>
      <c r="D343" t="inlineStr">
        <is>
          <t>&lt; .001</t>
        </is>
      </c>
      <c r="E343" t="inlineStr">
        <is>
          <t>[-0.251, -0.139]</t>
        </is>
      </c>
      <c r="F343" t="inlineStr">
        <is>
          <t>&lt; .001</t>
        </is>
      </c>
      <c r="G343" t="inlineStr">
        <is>
          <t>✓</t>
        </is>
      </c>
    </row>
    <row r="344">
      <c r="A344" t="inlineStr">
        <is>
          <t>L_Ig_ROI</t>
        </is>
      </c>
      <c r="B344" t="n">
        <v>-0.125</v>
      </c>
      <c r="C344" t="n">
        <v>1150</v>
      </c>
      <c r="D344" t="inlineStr">
        <is>
          <t>&lt; .001</t>
        </is>
      </c>
      <c r="E344" t="inlineStr">
        <is>
          <t>[-0.182, -0.068]</t>
        </is>
      </c>
      <c r="F344" t="inlineStr">
        <is>
          <t>&lt; .001</t>
        </is>
      </c>
      <c r="G344" t="inlineStr">
        <is>
          <t>✓</t>
        </is>
      </c>
    </row>
    <row r="345">
      <c r="A345" t="inlineStr">
        <is>
          <t>L_FOP5_ROI</t>
        </is>
      </c>
      <c r="B345" t="n">
        <v>-0.265</v>
      </c>
      <c r="C345" t="n">
        <v>1150</v>
      </c>
      <c r="D345" t="inlineStr">
        <is>
          <t>&lt; .001</t>
        </is>
      </c>
      <c r="E345" t="inlineStr">
        <is>
          <t>[-0.318, -0.210]</t>
        </is>
      </c>
      <c r="F345" t="inlineStr">
        <is>
          <t>&lt; .001</t>
        </is>
      </c>
      <c r="G345" t="inlineStr">
        <is>
          <t>✓</t>
        </is>
      </c>
    </row>
    <row r="346">
      <c r="A346" t="inlineStr">
        <is>
          <t>L_p10p_ROI</t>
        </is>
      </c>
      <c r="B346" t="n">
        <v>-0.29</v>
      </c>
      <c r="C346" t="n">
        <v>1150</v>
      </c>
      <c r="D346" t="inlineStr">
        <is>
          <t>&lt; .001</t>
        </is>
      </c>
      <c r="E346" t="inlineStr">
        <is>
          <t>[-0.342, -0.237]</t>
        </is>
      </c>
      <c r="F346" t="inlineStr">
        <is>
          <t>&lt; .001</t>
        </is>
      </c>
      <c r="G346" t="inlineStr">
        <is>
          <t>✓</t>
        </is>
      </c>
    </row>
    <row r="347">
      <c r="A347" t="inlineStr">
        <is>
          <t>L_p47r_ROI</t>
        </is>
      </c>
      <c r="B347" t="n">
        <v>-0.336</v>
      </c>
      <c r="C347" t="n">
        <v>1150</v>
      </c>
      <c r="D347" t="inlineStr">
        <is>
          <t>&lt; .001</t>
        </is>
      </c>
      <c r="E347" t="inlineStr">
        <is>
          <t>[-0.386, -0.284]</t>
        </is>
      </c>
      <c r="F347" t="inlineStr">
        <is>
          <t>&lt; .001</t>
        </is>
      </c>
      <c r="G347" t="inlineStr">
        <is>
          <t>✓</t>
        </is>
      </c>
    </row>
    <row r="348">
      <c r="A348" t="inlineStr">
        <is>
          <t>L_TGv_ROI</t>
        </is>
      </c>
      <c r="B348" t="n">
        <v>-0.283</v>
      </c>
      <c r="C348" t="n">
        <v>1150</v>
      </c>
      <c r="D348" t="inlineStr">
        <is>
          <t>&lt; .001</t>
        </is>
      </c>
      <c r="E348" t="inlineStr">
        <is>
          <t>[-0.336, -0.229]</t>
        </is>
      </c>
      <c r="F348" t="inlineStr">
        <is>
          <t>&lt; .001</t>
        </is>
      </c>
      <c r="G348" t="inlineStr">
        <is>
          <t>✓</t>
        </is>
      </c>
    </row>
    <row r="349">
      <c r="A349" t="inlineStr">
        <is>
          <t>L_MBelt_ROI</t>
        </is>
      </c>
      <c r="B349" t="n">
        <v>-0.342</v>
      </c>
      <c r="C349" t="n">
        <v>1150</v>
      </c>
      <c r="D349" t="inlineStr">
        <is>
          <t>&lt; .001</t>
        </is>
      </c>
      <c r="E349" t="inlineStr">
        <is>
          <t>[-0.392, -0.289]</t>
        </is>
      </c>
      <c r="F349" t="inlineStr">
        <is>
          <t>&lt; .001</t>
        </is>
      </c>
      <c r="G349" t="inlineStr">
        <is>
          <t>✓</t>
        </is>
      </c>
    </row>
    <row r="350">
      <c r="A350" t="inlineStr">
        <is>
          <t>L_LBelt_ROI</t>
        </is>
      </c>
      <c r="B350" t="n">
        <v>-0.418</v>
      </c>
      <c r="C350" t="n">
        <v>1150</v>
      </c>
      <c r="D350" t="inlineStr">
        <is>
          <t>&lt; .001</t>
        </is>
      </c>
      <c r="E350" t="inlineStr">
        <is>
          <t>[-0.465, -0.369]</t>
        </is>
      </c>
      <c r="F350" t="inlineStr">
        <is>
          <t>&lt; .001</t>
        </is>
      </c>
      <c r="G350" t="inlineStr">
        <is>
          <t>✓</t>
        </is>
      </c>
    </row>
    <row r="351">
      <c r="A351" t="inlineStr">
        <is>
          <t>L_A4_ROI</t>
        </is>
      </c>
      <c r="B351" t="n">
        <v>-0.438</v>
      </c>
      <c r="C351" t="n">
        <v>1150</v>
      </c>
      <c r="D351" t="inlineStr">
        <is>
          <t>&lt; .001</t>
        </is>
      </c>
      <c r="E351" t="inlineStr">
        <is>
          <t>[-0.484, -0.390]</t>
        </is>
      </c>
      <c r="F351" t="inlineStr">
        <is>
          <t>&lt; .001</t>
        </is>
      </c>
      <c r="G351" t="inlineStr">
        <is>
          <t>✓</t>
        </is>
      </c>
    </row>
    <row r="352">
      <c r="A352" t="inlineStr">
        <is>
          <t>L_STSva_ROI</t>
        </is>
      </c>
      <c r="B352" t="n">
        <v>-0.326</v>
      </c>
      <c r="C352" t="n">
        <v>1150</v>
      </c>
      <c r="D352" t="inlineStr">
        <is>
          <t>&lt; .001</t>
        </is>
      </c>
      <c r="E352" t="inlineStr">
        <is>
          <t>[-0.377, -0.273]</t>
        </is>
      </c>
      <c r="F352" t="inlineStr">
        <is>
          <t>&lt; .001</t>
        </is>
      </c>
      <c r="G352" t="inlineStr">
        <is>
          <t>✓</t>
        </is>
      </c>
    </row>
    <row r="353">
      <c r="A353" t="inlineStr">
        <is>
          <t>L_TE1m_ROI</t>
        </is>
      </c>
      <c r="B353" t="n">
        <v>-0.353</v>
      </c>
      <c r="C353" t="n">
        <v>1150</v>
      </c>
      <c r="D353" t="inlineStr">
        <is>
          <t>&lt; .001</t>
        </is>
      </c>
      <c r="E353" t="inlineStr">
        <is>
          <t>[-0.402, -0.301]</t>
        </is>
      </c>
      <c r="F353" t="inlineStr">
        <is>
          <t>&lt; .001</t>
        </is>
      </c>
      <c r="G353" t="inlineStr">
        <is>
          <t>✓</t>
        </is>
      </c>
    </row>
    <row r="354">
      <c r="A354" t="inlineStr">
        <is>
          <t>L_PI_ROI</t>
        </is>
      </c>
      <c r="B354" t="n">
        <v>-0.25</v>
      </c>
      <c r="C354" t="n">
        <v>1150</v>
      </c>
      <c r="D354" t="inlineStr">
        <is>
          <t>&lt; .001</t>
        </is>
      </c>
      <c r="E354" t="inlineStr">
        <is>
          <t>[-0.303, -0.195]</t>
        </is>
      </c>
      <c r="F354" t="inlineStr">
        <is>
          <t>&lt; .001</t>
        </is>
      </c>
      <c r="G354" t="inlineStr">
        <is>
          <t>✓</t>
        </is>
      </c>
    </row>
    <row r="355">
      <c r="A355" t="inlineStr">
        <is>
          <t>L_a32pr_ROI</t>
        </is>
      </c>
      <c r="B355" t="n">
        <v>-0.408</v>
      </c>
      <c r="C355" t="n">
        <v>1150</v>
      </c>
      <c r="D355" t="inlineStr">
        <is>
          <t>&lt; .001</t>
        </is>
      </c>
      <c r="E355" t="inlineStr">
        <is>
          <t>[-0.455, -0.359]</t>
        </is>
      </c>
      <c r="F355" t="inlineStr">
        <is>
          <t>&lt; .001</t>
        </is>
      </c>
      <c r="G355" t="inlineStr">
        <is>
          <t>✓</t>
        </is>
      </c>
    </row>
    <row r="356">
      <c r="A356" t="inlineStr">
        <is>
          <t>L_p24_ROI</t>
        </is>
      </c>
      <c r="B356" t="n">
        <v>-0.196</v>
      </c>
      <c r="C356" t="n">
        <v>1150</v>
      </c>
      <c r="D356" t="inlineStr">
        <is>
          <t>&lt; .001</t>
        </is>
      </c>
      <c r="E356" t="inlineStr">
        <is>
          <t>[-0.251, -0.140]</t>
        </is>
      </c>
      <c r="F356" t="inlineStr">
        <is>
          <t>&lt; .001</t>
        </is>
      </c>
      <c r="G356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One-way ANOVA (age decade) on FDR-significant ROIs. Post-hoc: Tukey HSD.</t>
        </is>
      </c>
    </row>
    <row r="3">
      <c r="A3" s="1" t="inlineStr">
        <is>
          <t>roi</t>
        </is>
      </c>
      <c r="B3" s="1" t="inlineStr">
        <is>
          <t>F</t>
        </is>
      </c>
      <c r="C3" s="1" t="inlineStr">
        <is>
          <t>p_anova</t>
        </is>
      </c>
      <c r="D3" s="1" t="inlineStr">
        <is>
          <t>n_age_groups</t>
        </is>
      </c>
      <c r="E3" s="1" t="inlineStr">
        <is>
          <t>n_sig_pairs</t>
        </is>
      </c>
    </row>
    <row r="4">
      <c r="A4" t="inlineStr">
        <is>
          <t>R_V1_ROI</t>
        </is>
      </c>
      <c r="B4" t="n">
        <v>100.199</v>
      </c>
      <c r="C4" t="n">
        <v>0</v>
      </c>
      <c r="D4" t="n">
        <v>6</v>
      </c>
      <c r="E4" t="n">
        <v>11</v>
      </c>
    </row>
    <row r="5">
      <c r="A5" t="inlineStr">
        <is>
          <t>R_MST_ROI</t>
        </is>
      </c>
      <c r="B5" t="n">
        <v>94.414</v>
      </c>
      <c r="C5" t="n">
        <v>0</v>
      </c>
      <c r="D5" t="n">
        <v>6</v>
      </c>
      <c r="E5" t="n">
        <v>13</v>
      </c>
    </row>
    <row r="6">
      <c r="A6" t="inlineStr">
        <is>
          <t>R_V6_ROI</t>
        </is>
      </c>
      <c r="B6" t="n">
        <v>81.44799999999999</v>
      </c>
      <c r="C6" t="n">
        <v>0</v>
      </c>
      <c r="D6" t="n">
        <v>6</v>
      </c>
      <c r="E6" t="n">
        <v>13</v>
      </c>
    </row>
    <row r="7">
      <c r="A7" t="inlineStr">
        <is>
          <t>R_V2_ROI</t>
        </is>
      </c>
      <c r="B7" t="n">
        <v>55.091</v>
      </c>
      <c r="C7" t="n">
        <v>0</v>
      </c>
      <c r="D7" t="n">
        <v>6</v>
      </c>
      <c r="E7" t="n">
        <v>10</v>
      </c>
    </row>
    <row r="8">
      <c r="A8" t="inlineStr">
        <is>
          <t>R_V3_ROI</t>
        </is>
      </c>
      <c r="B8" t="n">
        <v>88.057</v>
      </c>
      <c r="C8" t="n">
        <v>0</v>
      </c>
      <c r="D8" t="n">
        <v>6</v>
      </c>
      <c r="E8" t="n">
        <v>12</v>
      </c>
    </row>
    <row r="9">
      <c r="A9" t="inlineStr">
        <is>
          <t>R_V4_ROI</t>
        </is>
      </c>
      <c r="B9" t="n">
        <v>109.365</v>
      </c>
      <c r="C9" t="n">
        <v>0</v>
      </c>
      <c r="D9" t="n">
        <v>6</v>
      </c>
      <c r="E9" t="n">
        <v>13</v>
      </c>
    </row>
    <row r="10">
      <c r="A10" t="inlineStr">
        <is>
          <t>R_V8_ROI</t>
        </is>
      </c>
      <c r="B10" t="n">
        <v>27.559</v>
      </c>
      <c r="C10" t="n">
        <v>0</v>
      </c>
      <c r="D10" t="n">
        <v>6</v>
      </c>
      <c r="E10" t="n">
        <v>11</v>
      </c>
    </row>
    <row r="11">
      <c r="A11" t="inlineStr">
        <is>
          <t>R_4_ROI</t>
        </is>
      </c>
      <c r="B11" t="n">
        <v>207.963</v>
      </c>
      <c r="C11" t="n">
        <v>0</v>
      </c>
      <c r="D11" t="n">
        <v>6</v>
      </c>
      <c r="E11" t="n">
        <v>14</v>
      </c>
    </row>
    <row r="12">
      <c r="A12" t="inlineStr">
        <is>
          <t>R_3b_ROI</t>
        </is>
      </c>
      <c r="B12" t="n">
        <v>83.595</v>
      </c>
      <c r="C12" t="n">
        <v>0</v>
      </c>
      <c r="D12" t="n">
        <v>6</v>
      </c>
      <c r="E12" t="n">
        <v>13</v>
      </c>
    </row>
    <row r="13">
      <c r="A13" t="inlineStr">
        <is>
          <t>R_FEF_ROI</t>
        </is>
      </c>
      <c r="B13" t="n">
        <v>171.5</v>
      </c>
      <c r="C13" t="n">
        <v>0</v>
      </c>
      <c r="D13" t="n">
        <v>6</v>
      </c>
      <c r="E13" t="n">
        <v>15</v>
      </c>
    </row>
    <row r="14">
      <c r="A14" t="inlineStr">
        <is>
          <t>R_PEF_ROI</t>
        </is>
      </c>
      <c r="B14" t="n">
        <v>90.91800000000001</v>
      </c>
      <c r="C14" t="n">
        <v>0</v>
      </c>
      <c r="D14" t="n">
        <v>6</v>
      </c>
      <c r="E14" t="n">
        <v>14</v>
      </c>
    </row>
    <row r="15">
      <c r="A15" t="inlineStr">
        <is>
          <t>R_55b_ROI</t>
        </is>
      </c>
      <c r="B15" t="n">
        <v>116.362</v>
      </c>
      <c r="C15" t="n">
        <v>0</v>
      </c>
      <c r="D15" t="n">
        <v>6</v>
      </c>
      <c r="E15" t="n">
        <v>15</v>
      </c>
    </row>
    <row r="16">
      <c r="A16" t="inlineStr">
        <is>
          <t>R_V3A_ROI</t>
        </is>
      </c>
      <c r="B16" t="n">
        <v>95.98099999999999</v>
      </c>
      <c r="C16" t="n">
        <v>0</v>
      </c>
      <c r="D16" t="n">
        <v>6</v>
      </c>
      <c r="E16" t="n">
        <v>12</v>
      </c>
    </row>
    <row r="17">
      <c r="A17" t="inlineStr">
        <is>
          <t>R_RSC_ROI</t>
        </is>
      </c>
      <c r="B17" t="n">
        <v>56.779</v>
      </c>
      <c r="C17" t="n">
        <v>0</v>
      </c>
      <c r="D17" t="n">
        <v>6</v>
      </c>
      <c r="E17" t="n">
        <v>13</v>
      </c>
    </row>
    <row r="18">
      <c r="A18" t="inlineStr">
        <is>
          <t>R_POS2_ROI</t>
        </is>
      </c>
      <c r="B18" t="n">
        <v>104.965</v>
      </c>
      <c r="C18" t="n">
        <v>0</v>
      </c>
      <c r="D18" t="n">
        <v>6</v>
      </c>
      <c r="E18" t="n">
        <v>14</v>
      </c>
    </row>
    <row r="19">
      <c r="A19" t="inlineStr">
        <is>
          <t>R_V7_ROI</t>
        </is>
      </c>
      <c r="B19" t="n">
        <v>58.199</v>
      </c>
      <c r="C19" t="n">
        <v>0</v>
      </c>
      <c r="D19" t="n">
        <v>6</v>
      </c>
      <c r="E19" t="n">
        <v>12</v>
      </c>
    </row>
    <row r="20">
      <c r="A20" t="inlineStr">
        <is>
          <t>R_IPS1_ROI</t>
        </is>
      </c>
      <c r="B20" t="n">
        <v>74.14400000000001</v>
      </c>
      <c r="C20" t="n">
        <v>0</v>
      </c>
      <c r="D20" t="n">
        <v>6</v>
      </c>
      <c r="E20" t="n">
        <v>13</v>
      </c>
    </row>
    <row r="21">
      <c r="A21" t="inlineStr">
        <is>
          <t>R_FFC_ROI</t>
        </is>
      </c>
      <c r="B21" t="n">
        <v>29.31</v>
      </c>
      <c r="C21" t="n">
        <v>0</v>
      </c>
      <c r="D21" t="n">
        <v>6</v>
      </c>
      <c r="E21" t="n">
        <v>12</v>
      </c>
    </row>
    <row r="22">
      <c r="A22" t="inlineStr">
        <is>
          <t>R_V3B_ROI</t>
        </is>
      </c>
      <c r="B22" t="n">
        <v>102.753</v>
      </c>
      <c r="C22" t="n">
        <v>0</v>
      </c>
      <c r="D22" t="n">
        <v>6</v>
      </c>
      <c r="E22" t="n">
        <v>14</v>
      </c>
    </row>
    <row r="23">
      <c r="A23" t="inlineStr">
        <is>
          <t>R_LO1_ROI</t>
        </is>
      </c>
      <c r="B23" t="n">
        <v>59.909</v>
      </c>
      <c r="C23" t="n">
        <v>0</v>
      </c>
      <c r="D23" t="n">
        <v>6</v>
      </c>
      <c r="E23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One-way ANOVA (age decade) on FDR-significant ROIs. Post-hoc: Tukey HSD.</t>
        </is>
      </c>
    </row>
    <row r="3">
      <c r="A3" s="1" t="inlineStr">
        <is>
          <t>roi</t>
        </is>
      </c>
      <c r="B3" s="1" t="inlineStr">
        <is>
          <t>F</t>
        </is>
      </c>
      <c r="C3" s="1" t="inlineStr">
        <is>
          <t>p_anova</t>
        </is>
      </c>
      <c r="D3" s="1" t="inlineStr">
        <is>
          <t>n_age_groups</t>
        </is>
      </c>
      <c r="E3" s="1" t="inlineStr">
        <is>
          <t>n_sig_pairs</t>
        </is>
      </c>
    </row>
    <row r="4">
      <c r="A4" t="inlineStr">
        <is>
          <t>R_V1_ROI</t>
        </is>
      </c>
      <c r="B4" t="n">
        <v>58.743</v>
      </c>
      <c r="C4" t="n">
        <v>0</v>
      </c>
      <c r="D4" t="n">
        <v>6</v>
      </c>
      <c r="E4" t="n">
        <v>12</v>
      </c>
    </row>
    <row r="5">
      <c r="A5" t="inlineStr">
        <is>
          <t>R_MST_ROI</t>
        </is>
      </c>
      <c r="B5" t="n">
        <v>23.435</v>
      </c>
      <c r="C5" t="n">
        <v>0</v>
      </c>
      <c r="D5" t="n">
        <v>6</v>
      </c>
      <c r="E5" t="n">
        <v>11</v>
      </c>
    </row>
    <row r="6">
      <c r="A6" t="inlineStr">
        <is>
          <t>R_V6_ROI</t>
        </is>
      </c>
      <c r="B6" t="n">
        <v>39.193</v>
      </c>
      <c r="C6" t="n">
        <v>0</v>
      </c>
      <c r="D6" t="n">
        <v>6</v>
      </c>
      <c r="E6" t="n">
        <v>12</v>
      </c>
    </row>
    <row r="7">
      <c r="A7" t="inlineStr">
        <is>
          <t>R_V2_ROI</t>
        </is>
      </c>
      <c r="B7" t="n">
        <v>41.147</v>
      </c>
      <c r="C7" t="n">
        <v>0</v>
      </c>
      <c r="D7" t="n">
        <v>6</v>
      </c>
      <c r="E7" t="n">
        <v>11</v>
      </c>
    </row>
    <row r="8">
      <c r="A8" t="inlineStr">
        <is>
          <t>R_V3_ROI</t>
        </is>
      </c>
      <c r="B8" t="n">
        <v>31.337</v>
      </c>
      <c r="C8" t="n">
        <v>0</v>
      </c>
      <c r="D8" t="n">
        <v>6</v>
      </c>
      <c r="E8" t="n">
        <v>9</v>
      </c>
    </row>
    <row r="9">
      <c r="A9" t="inlineStr">
        <is>
          <t>R_V4_ROI</t>
        </is>
      </c>
      <c r="B9" t="n">
        <v>43.7</v>
      </c>
      <c r="C9" t="n">
        <v>0</v>
      </c>
      <c r="D9" t="n">
        <v>6</v>
      </c>
      <c r="E9" t="n">
        <v>12</v>
      </c>
    </row>
    <row r="10">
      <c r="A10" t="inlineStr">
        <is>
          <t>R_V8_ROI</t>
        </is>
      </c>
      <c r="B10" t="n">
        <v>15.063</v>
      </c>
      <c r="C10" t="n">
        <v>0</v>
      </c>
      <c r="D10" t="n">
        <v>6</v>
      </c>
      <c r="E10" t="n">
        <v>7</v>
      </c>
    </row>
    <row r="11">
      <c r="A11" t="inlineStr">
        <is>
          <t>R_4_ROI</t>
        </is>
      </c>
      <c r="B11" t="n">
        <v>73.547</v>
      </c>
      <c r="C11" t="n">
        <v>0</v>
      </c>
      <c r="D11" t="n">
        <v>6</v>
      </c>
      <c r="E11" t="n">
        <v>14</v>
      </c>
    </row>
    <row r="12">
      <c r="A12" t="inlineStr">
        <is>
          <t>R_3b_ROI</t>
        </is>
      </c>
      <c r="B12" t="n">
        <v>35.914</v>
      </c>
      <c r="C12" t="n">
        <v>0</v>
      </c>
      <c r="D12" t="n">
        <v>6</v>
      </c>
      <c r="E12" t="n">
        <v>11</v>
      </c>
    </row>
    <row r="13">
      <c r="A13" t="inlineStr">
        <is>
          <t>R_FEF_ROI</t>
        </is>
      </c>
      <c r="B13" t="n">
        <v>33.687</v>
      </c>
      <c r="C13" t="n">
        <v>0</v>
      </c>
      <c r="D13" t="n">
        <v>6</v>
      </c>
      <c r="E13" t="n">
        <v>11</v>
      </c>
    </row>
    <row r="14">
      <c r="A14" t="inlineStr">
        <is>
          <t>R_PEF_ROI</t>
        </is>
      </c>
      <c r="B14" t="n">
        <v>16.514</v>
      </c>
      <c r="C14" t="n">
        <v>0</v>
      </c>
      <c r="D14" t="n">
        <v>6</v>
      </c>
      <c r="E14" t="n">
        <v>10</v>
      </c>
    </row>
    <row r="15">
      <c r="A15" t="inlineStr">
        <is>
          <t>R_55b_ROI</t>
        </is>
      </c>
      <c r="B15" t="n">
        <v>30.464</v>
      </c>
      <c r="C15" t="n">
        <v>0</v>
      </c>
      <c r="D15" t="n">
        <v>6</v>
      </c>
      <c r="E15" t="n">
        <v>13</v>
      </c>
    </row>
    <row r="16">
      <c r="A16" t="inlineStr">
        <is>
          <t>R_V3A_ROI</t>
        </is>
      </c>
      <c r="B16" t="n">
        <v>37.978</v>
      </c>
      <c r="C16" t="n">
        <v>0</v>
      </c>
      <c r="D16" t="n">
        <v>6</v>
      </c>
      <c r="E16" t="n">
        <v>9</v>
      </c>
    </row>
    <row r="17">
      <c r="A17" t="inlineStr">
        <is>
          <t>R_RSC_ROI</t>
        </is>
      </c>
      <c r="B17" t="n">
        <v>72.658</v>
      </c>
      <c r="C17" t="n">
        <v>0</v>
      </c>
      <c r="D17" t="n">
        <v>6</v>
      </c>
      <c r="E17" t="n">
        <v>14</v>
      </c>
    </row>
    <row r="18">
      <c r="A18" t="inlineStr">
        <is>
          <t>R_POS2_ROI</t>
        </is>
      </c>
      <c r="B18" t="n">
        <v>26.244</v>
      </c>
      <c r="C18" t="n">
        <v>0</v>
      </c>
      <c r="D18" t="n">
        <v>6</v>
      </c>
      <c r="E18" t="n">
        <v>11</v>
      </c>
    </row>
    <row r="19">
      <c r="A19" t="inlineStr">
        <is>
          <t>R_V7_ROI</t>
        </is>
      </c>
      <c r="B19" t="n">
        <v>13.03</v>
      </c>
      <c r="C19" t="n">
        <v>0</v>
      </c>
      <c r="D19" t="n">
        <v>6</v>
      </c>
      <c r="E19" t="n">
        <v>6</v>
      </c>
    </row>
    <row r="20">
      <c r="A20" t="inlineStr">
        <is>
          <t>R_IPS1_ROI</t>
        </is>
      </c>
      <c r="B20" t="n">
        <v>20.087</v>
      </c>
      <c r="C20" t="n">
        <v>0</v>
      </c>
      <c r="D20" t="n">
        <v>6</v>
      </c>
      <c r="E20" t="n">
        <v>8</v>
      </c>
    </row>
    <row r="21">
      <c r="A21" t="inlineStr">
        <is>
          <t>R_FFC_ROI</t>
        </is>
      </c>
      <c r="B21" t="n">
        <v>31.843</v>
      </c>
      <c r="C21" t="n">
        <v>0</v>
      </c>
      <c r="D21" t="n">
        <v>6</v>
      </c>
      <c r="E21" t="n">
        <v>11</v>
      </c>
    </row>
    <row r="22">
      <c r="A22" t="inlineStr">
        <is>
          <t>R_V3B_ROI</t>
        </is>
      </c>
      <c r="B22" t="n">
        <v>19.004</v>
      </c>
      <c r="C22" t="n">
        <v>0</v>
      </c>
      <c r="D22" t="n">
        <v>6</v>
      </c>
      <c r="E22" t="n">
        <v>9</v>
      </c>
    </row>
    <row r="23">
      <c r="A23" t="inlineStr">
        <is>
          <t>R_LO1_ROI</t>
        </is>
      </c>
      <c r="B23" t="n">
        <v>24.825</v>
      </c>
      <c r="C23" t="n">
        <v>0</v>
      </c>
      <c r="D23" t="n">
        <v>6</v>
      </c>
      <c r="E23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note</t>
        </is>
      </c>
    </row>
    <row r="2">
      <c r="A2" t="inlineStr">
        <is>
          <t>Lobe classification based on Desikan et al. (2006) and Glasser et al. (2016). Cross-atlas comparison is at lobe level only.</t>
        </is>
      </c>
    </row>
    <row r="3">
      <c r="A3" s="1" t="inlineStr">
        <is>
          <t>dk_region</t>
        </is>
      </c>
      <c r="B3" s="1" t="inlineStr">
        <is>
          <t>glasser_lobe</t>
        </is>
      </c>
      <c r="C3" s="1" t="inlineStr">
        <is>
          <t>hcp_thck_col_L</t>
        </is>
      </c>
      <c r="D3" s="1" t="inlineStr">
        <is>
          <t>hcp_thck_col_R</t>
        </is>
      </c>
      <c r="E3" s="1" t="inlineStr">
        <is>
          <t>hcp_area_col_L</t>
        </is>
      </c>
      <c r="F3" s="1" t="inlineStr">
        <is>
          <t>hcp_area_col_R</t>
        </is>
      </c>
    </row>
    <row r="4">
      <c r="A4" t="inlineStr">
        <is>
          <t>Bankssts</t>
        </is>
      </c>
      <c r="B4" t="inlineStr">
        <is>
          <t>Temporal</t>
        </is>
      </c>
      <c r="C4" t="inlineStr">
        <is>
          <t>FS_L_Bankssts_Thck</t>
        </is>
      </c>
      <c r="D4" t="inlineStr">
        <is>
          <t>FS_R_Bankssts_Thck</t>
        </is>
      </c>
      <c r="E4" t="inlineStr">
        <is>
          <t>FS_L_Bankssts_Area</t>
        </is>
      </c>
      <c r="F4" t="inlineStr">
        <is>
          <t>FS_R_Bankssts_Area</t>
        </is>
      </c>
    </row>
    <row r="5">
      <c r="A5" t="inlineStr">
        <is>
          <t>Caudalanteriorcingulate</t>
        </is>
      </c>
      <c r="B5" t="inlineStr">
        <is>
          <t>Frontal</t>
        </is>
      </c>
      <c r="C5" t="inlineStr">
        <is>
          <t>FS_L_Caudalanteriorcingulate_Thck</t>
        </is>
      </c>
      <c r="D5" t="inlineStr">
        <is>
          <t>FS_R_Caudalanteriorcingulate_Thck</t>
        </is>
      </c>
      <c r="E5" t="inlineStr">
        <is>
          <t>FS_L_Caudalanteriorcingulate_Area</t>
        </is>
      </c>
      <c r="F5" t="inlineStr">
        <is>
          <t>FS_R_Caudalanteriorcingulate_Area</t>
        </is>
      </c>
    </row>
    <row r="6">
      <c r="A6" t="inlineStr">
        <is>
          <t>Caudalmiddlefrontal</t>
        </is>
      </c>
      <c r="B6" t="inlineStr">
        <is>
          <t>Frontal</t>
        </is>
      </c>
      <c r="C6" t="inlineStr">
        <is>
          <t>FS_L_Caudalmiddlefrontal_Thck</t>
        </is>
      </c>
      <c r="D6" t="inlineStr">
        <is>
          <t>FS_R_Caudalmiddlefrontal_Thck</t>
        </is>
      </c>
      <c r="E6" t="inlineStr">
        <is>
          <t>FS_L_Caudalmiddlefrontal_Area</t>
        </is>
      </c>
      <c r="F6" t="inlineStr">
        <is>
          <t>FS_R_Caudalmiddlefrontal_Area</t>
        </is>
      </c>
    </row>
    <row r="7">
      <c r="A7" t="inlineStr">
        <is>
          <t>Cuneus</t>
        </is>
      </c>
      <c r="B7" t="inlineStr">
        <is>
          <t>Occipital</t>
        </is>
      </c>
      <c r="C7" t="inlineStr">
        <is>
          <t>FS_L_Cuneus_Thck</t>
        </is>
      </c>
      <c r="D7" t="inlineStr">
        <is>
          <t>FS_R_Cuneus_Thck</t>
        </is>
      </c>
      <c r="E7" t="inlineStr">
        <is>
          <t>FS_L_Cuneus_Area</t>
        </is>
      </c>
      <c r="F7" t="inlineStr">
        <is>
          <t>FS_R_Cuneus_Area</t>
        </is>
      </c>
    </row>
    <row r="8">
      <c r="A8" t="inlineStr">
        <is>
          <t>Entorhinal</t>
        </is>
      </c>
      <c r="B8" t="inlineStr">
        <is>
          <t>Temporal</t>
        </is>
      </c>
      <c r="C8" t="inlineStr">
        <is>
          <t>FS_L_Entorhinal_Thck</t>
        </is>
      </c>
      <c r="D8" t="inlineStr">
        <is>
          <t>FS_R_Entorhinal_Thck</t>
        </is>
      </c>
      <c r="E8" t="inlineStr">
        <is>
          <t>FS_L_Entorhinal_Area</t>
        </is>
      </c>
      <c r="F8" t="inlineStr">
        <is>
          <t>FS_R_Entorhinal_Area</t>
        </is>
      </c>
    </row>
    <row r="9">
      <c r="A9" t="inlineStr">
        <is>
          <t>Fusiform</t>
        </is>
      </c>
      <c r="B9" t="inlineStr">
        <is>
          <t>Temporal</t>
        </is>
      </c>
      <c r="C9" t="inlineStr">
        <is>
          <t>FS_L_Fusiform_Thck</t>
        </is>
      </c>
      <c r="D9" t="inlineStr">
        <is>
          <t>FS_R_Fusiform_Thck</t>
        </is>
      </c>
      <c r="E9" t="inlineStr">
        <is>
          <t>FS_L_Fusiform_Area</t>
        </is>
      </c>
      <c r="F9" t="inlineStr">
        <is>
          <t>FS_R_Fusiform_Area</t>
        </is>
      </c>
    </row>
    <row r="10">
      <c r="A10" t="inlineStr">
        <is>
          <t>Inferiorparietal</t>
        </is>
      </c>
      <c r="B10" t="inlineStr">
        <is>
          <t>Parietal</t>
        </is>
      </c>
      <c r="C10" t="inlineStr">
        <is>
          <t>FS_L_Inferiorparietal_Thck</t>
        </is>
      </c>
      <c r="D10" t="inlineStr">
        <is>
          <t>FS_R_Inferiorparietal_Thck</t>
        </is>
      </c>
      <c r="E10" t="inlineStr">
        <is>
          <t>FS_L_Inferiorparietal_Area</t>
        </is>
      </c>
      <c r="F10" t="inlineStr">
        <is>
          <t>FS_R_Inferiorparietal_Area</t>
        </is>
      </c>
    </row>
    <row r="11">
      <c r="A11" t="inlineStr">
        <is>
          <t>Inferiortemporal</t>
        </is>
      </c>
      <c r="B11" t="inlineStr">
        <is>
          <t>Temporal</t>
        </is>
      </c>
      <c r="C11" t="inlineStr">
        <is>
          <t>FS_L_Inferiortemporal_Thck</t>
        </is>
      </c>
      <c r="D11" t="inlineStr">
        <is>
          <t>FS_R_Inferiortemporal_Thck</t>
        </is>
      </c>
      <c r="E11" t="inlineStr">
        <is>
          <t>FS_L_Inferiortemporal_Area</t>
        </is>
      </c>
      <c r="F11" t="inlineStr">
        <is>
          <t>FS_R_Inferiortemporal_Area</t>
        </is>
      </c>
    </row>
    <row r="12">
      <c r="A12" t="inlineStr">
        <is>
          <t>Isthmuscingulate</t>
        </is>
      </c>
      <c r="B12" t="inlineStr">
        <is>
          <t>Parietal</t>
        </is>
      </c>
      <c r="C12" t="inlineStr">
        <is>
          <t>FS_L_Isthmuscingulate_Thck</t>
        </is>
      </c>
      <c r="D12" t="inlineStr">
        <is>
          <t>FS_R_Isthmuscingulate_Thck</t>
        </is>
      </c>
      <c r="E12" t="inlineStr">
        <is>
          <t>FS_L_Isthmuscingulate_Area</t>
        </is>
      </c>
      <c r="F12" t="inlineStr">
        <is>
          <t>FS_R_Isthmuscingulate_Area</t>
        </is>
      </c>
    </row>
    <row r="13">
      <c r="A13" t="inlineStr">
        <is>
          <t>Lateraloccipital</t>
        </is>
      </c>
      <c r="B13" t="inlineStr">
        <is>
          <t>Occipital</t>
        </is>
      </c>
      <c r="C13" t="inlineStr">
        <is>
          <t>FS_L_Lateraloccipital_Thck</t>
        </is>
      </c>
      <c r="D13" t="inlineStr">
        <is>
          <t>FS_R_Lateraloccipital_Thck</t>
        </is>
      </c>
      <c r="E13" t="inlineStr">
        <is>
          <t>FS_L_Lateraloccipital_Area</t>
        </is>
      </c>
      <c r="F13" t="inlineStr">
        <is>
          <t>FS_R_Lateraloccipital_Area</t>
        </is>
      </c>
    </row>
    <row r="14">
      <c r="A14" t="inlineStr">
        <is>
          <t>Lateralorbitofrontal</t>
        </is>
      </c>
      <c r="B14" t="inlineStr">
        <is>
          <t>Frontal</t>
        </is>
      </c>
      <c r="C14" t="inlineStr">
        <is>
          <t>FS_L_Lateralorbitofrontal_Thck</t>
        </is>
      </c>
      <c r="D14" t="inlineStr">
        <is>
          <t>FS_R_Lateralorbitofrontal_Thck</t>
        </is>
      </c>
      <c r="E14" t="inlineStr">
        <is>
          <t>FS_L_Lateralorbitofrontal_Area</t>
        </is>
      </c>
      <c r="F14" t="inlineStr">
        <is>
          <t>FS_R_Lateralorbitofrontal_Area</t>
        </is>
      </c>
    </row>
    <row r="15">
      <c r="A15" t="inlineStr">
        <is>
          <t>Lingual</t>
        </is>
      </c>
      <c r="B15" t="inlineStr">
        <is>
          <t>Occipital</t>
        </is>
      </c>
      <c r="C15" t="inlineStr">
        <is>
          <t>FS_L_Lingual_Thck</t>
        </is>
      </c>
      <c r="D15" t="inlineStr">
        <is>
          <t>FS_R_Lingual_Thck</t>
        </is>
      </c>
      <c r="E15" t="inlineStr">
        <is>
          <t>FS_L_Lingual_Area</t>
        </is>
      </c>
      <c r="F15" t="inlineStr">
        <is>
          <t>FS_R_Lingual_Area</t>
        </is>
      </c>
    </row>
    <row r="16">
      <c r="A16" t="inlineStr">
        <is>
          <t>Medialorbitofrontal</t>
        </is>
      </c>
      <c r="B16" t="inlineStr">
        <is>
          <t>Frontal</t>
        </is>
      </c>
      <c r="C16" t="inlineStr">
        <is>
          <t>FS_L_Medialorbitofrontal_Thck</t>
        </is>
      </c>
      <c r="D16" t="inlineStr">
        <is>
          <t>FS_R_Medialorbitofrontal_Thck</t>
        </is>
      </c>
      <c r="E16" t="inlineStr">
        <is>
          <t>FS_L_Medialorbitofrontal_Area</t>
        </is>
      </c>
      <c r="F16" t="inlineStr">
        <is>
          <t>FS_R_Medialorbitofrontal_Area</t>
        </is>
      </c>
    </row>
    <row r="17">
      <c r="A17" t="inlineStr">
        <is>
          <t>Middletemporal</t>
        </is>
      </c>
      <c r="B17" t="inlineStr">
        <is>
          <t>Temporal</t>
        </is>
      </c>
      <c r="C17" t="inlineStr">
        <is>
          <t>FS_L_Middletemporal_Thck</t>
        </is>
      </c>
      <c r="D17" t="inlineStr">
        <is>
          <t>FS_R_Middletemporal_Thck</t>
        </is>
      </c>
      <c r="E17" t="inlineStr">
        <is>
          <t>FS_L_Middletemporal_Area</t>
        </is>
      </c>
      <c r="F17" t="inlineStr">
        <is>
          <t>FS_R_Middletemporal_Area</t>
        </is>
      </c>
    </row>
    <row r="18">
      <c r="A18" t="inlineStr">
        <is>
          <t>Parahippocampal</t>
        </is>
      </c>
      <c r="B18" t="inlineStr">
        <is>
          <t>Temporal</t>
        </is>
      </c>
      <c r="C18" t="inlineStr">
        <is>
          <t>FS_L_Parahippocampal_Thck</t>
        </is>
      </c>
      <c r="D18" t="inlineStr">
        <is>
          <t>FS_R_Parahippocampal_Thck</t>
        </is>
      </c>
      <c r="E18" t="inlineStr">
        <is>
          <t>FS_L_Parahippocampal_Area</t>
        </is>
      </c>
      <c r="F18" t="inlineStr">
        <is>
          <t>FS_R_Parahippocampal_Area</t>
        </is>
      </c>
    </row>
    <row r="19">
      <c r="A19" t="inlineStr">
        <is>
          <t>Paracentral</t>
        </is>
      </c>
      <c r="B19" t="inlineStr">
        <is>
          <t>Parietal</t>
        </is>
      </c>
      <c r="C19" t="inlineStr">
        <is>
          <t>FS_L_Paracentral_Thck</t>
        </is>
      </c>
      <c r="D19" t="inlineStr">
        <is>
          <t>FS_R_Paracentral_Thck</t>
        </is>
      </c>
      <c r="E19" t="inlineStr">
        <is>
          <t>FS_L_Paracentral_Area</t>
        </is>
      </c>
      <c r="F19" t="inlineStr">
        <is>
          <t>FS_R_Paracentral_Area</t>
        </is>
      </c>
    </row>
    <row r="20">
      <c r="A20" t="inlineStr">
        <is>
          <t>Parsopercularis</t>
        </is>
      </c>
      <c r="B20" t="inlineStr">
        <is>
          <t>Frontal</t>
        </is>
      </c>
      <c r="C20" t="inlineStr">
        <is>
          <t>FS_L_Parsopercularis_Thck</t>
        </is>
      </c>
      <c r="D20" t="inlineStr">
        <is>
          <t>FS_R_Parsopercularis_Thck</t>
        </is>
      </c>
      <c r="E20" t="inlineStr">
        <is>
          <t>FS_L_Parsopercularis_Area</t>
        </is>
      </c>
      <c r="F20" t="inlineStr">
        <is>
          <t>FS_R_Parsopercularis_Area</t>
        </is>
      </c>
    </row>
    <row r="21">
      <c r="A21" t="inlineStr">
        <is>
          <t>Parsorbitalis</t>
        </is>
      </c>
      <c r="B21" t="inlineStr">
        <is>
          <t>Frontal</t>
        </is>
      </c>
      <c r="C21" t="inlineStr">
        <is>
          <t>FS_L_Parsorbitalis_Thck</t>
        </is>
      </c>
      <c r="D21" t="inlineStr">
        <is>
          <t>FS_R_Parsorbitalis_Thck</t>
        </is>
      </c>
      <c r="E21" t="inlineStr">
        <is>
          <t>FS_L_Parsorbitalis_Area</t>
        </is>
      </c>
      <c r="F21" t="inlineStr">
        <is>
          <t>FS_R_Parsorbitalis_Area</t>
        </is>
      </c>
    </row>
    <row r="22">
      <c r="A22" t="inlineStr">
        <is>
          <t>Parstriangularis</t>
        </is>
      </c>
      <c r="B22" t="inlineStr">
        <is>
          <t>Frontal</t>
        </is>
      </c>
      <c r="C22" t="inlineStr">
        <is>
          <t>FS_L_Parstriangularis_Thck</t>
        </is>
      </c>
      <c r="D22" t="inlineStr">
        <is>
          <t>FS_R_Parstriangularis_Thck</t>
        </is>
      </c>
      <c r="E22" t="inlineStr">
        <is>
          <t>FS_L_Parstriangularis_Area</t>
        </is>
      </c>
      <c r="F22" t="inlineStr">
        <is>
          <t>FS_R_Parstriangularis_Area</t>
        </is>
      </c>
    </row>
    <row r="23">
      <c r="A23" t="inlineStr">
        <is>
          <t>Pericalcarine</t>
        </is>
      </c>
      <c r="B23" t="inlineStr">
        <is>
          <t>Occipital</t>
        </is>
      </c>
      <c r="C23" t="inlineStr">
        <is>
          <t>FS_L_Pericalcarine_Thck</t>
        </is>
      </c>
      <c r="D23" t="inlineStr">
        <is>
          <t>FS_R_Pericalcarine_Thck</t>
        </is>
      </c>
      <c r="E23" t="inlineStr">
        <is>
          <t>FS_L_Pericalcarine_Area</t>
        </is>
      </c>
      <c r="F23" t="inlineStr">
        <is>
          <t>FS_R_Pericalcarine_Area</t>
        </is>
      </c>
    </row>
    <row r="24">
      <c r="A24" t="inlineStr">
        <is>
          <t>Postcentral</t>
        </is>
      </c>
      <c r="B24" t="inlineStr">
        <is>
          <t>Parietal</t>
        </is>
      </c>
      <c r="C24" t="inlineStr">
        <is>
          <t>FS_L_Postcentral_Thck</t>
        </is>
      </c>
      <c r="D24" t="inlineStr">
        <is>
          <t>FS_R_Postcentral_Thck</t>
        </is>
      </c>
      <c r="E24" t="inlineStr">
        <is>
          <t>FS_L_Postcentral_Area</t>
        </is>
      </c>
      <c r="F24" t="inlineStr">
        <is>
          <t>FS_R_Postcentral_Area</t>
        </is>
      </c>
    </row>
    <row r="25">
      <c r="A25" t="inlineStr">
        <is>
          <t>Posteriorcingulate</t>
        </is>
      </c>
      <c r="B25" t="inlineStr">
        <is>
          <t>Parietal</t>
        </is>
      </c>
      <c r="C25" t="inlineStr">
        <is>
          <t>FS_L_Posteriorcingulate_Thck</t>
        </is>
      </c>
      <c r="D25" t="inlineStr">
        <is>
          <t>FS_R_Posteriorcingulate_Thck</t>
        </is>
      </c>
      <c r="E25" t="inlineStr">
        <is>
          <t>FS_L_Posteriorcingulate_Area</t>
        </is>
      </c>
      <c r="F25" t="inlineStr">
        <is>
          <t>FS_R_Posteriorcingulate_Area</t>
        </is>
      </c>
    </row>
    <row r="26">
      <c r="A26" t="inlineStr">
        <is>
          <t>Precentral</t>
        </is>
      </c>
      <c r="B26" t="inlineStr">
        <is>
          <t>Frontal</t>
        </is>
      </c>
      <c r="C26" t="inlineStr">
        <is>
          <t>FS_L_Precentral_Thck</t>
        </is>
      </c>
      <c r="D26" t="inlineStr">
        <is>
          <t>FS_R_Precentral_Thck</t>
        </is>
      </c>
      <c r="E26" t="inlineStr">
        <is>
          <t>FS_L_Precentral_Area</t>
        </is>
      </c>
      <c r="F26" t="inlineStr">
        <is>
          <t>FS_R_Precentral_Area</t>
        </is>
      </c>
    </row>
    <row r="27">
      <c r="A27" t="inlineStr">
        <is>
          <t>Precuneus</t>
        </is>
      </c>
      <c r="B27" t="inlineStr">
        <is>
          <t>Parietal</t>
        </is>
      </c>
      <c r="C27" t="inlineStr">
        <is>
          <t>FS_L_Precuneus_Thck</t>
        </is>
      </c>
      <c r="D27" t="inlineStr">
        <is>
          <t>FS_R_Precuneus_Thck</t>
        </is>
      </c>
      <c r="E27" t="inlineStr">
        <is>
          <t>FS_L_Precuneus_Area</t>
        </is>
      </c>
      <c r="F27" t="inlineStr">
        <is>
          <t>FS_R_Precuneus_Area</t>
        </is>
      </c>
    </row>
    <row r="28">
      <c r="A28" t="inlineStr">
        <is>
          <t>Rostralanteriorcingulate</t>
        </is>
      </c>
      <c r="B28" t="inlineStr">
        <is>
          <t>Frontal</t>
        </is>
      </c>
      <c r="C28" t="inlineStr">
        <is>
          <t>FS_L_Rostralanteriorcingulate_Thck</t>
        </is>
      </c>
      <c r="D28" t="inlineStr">
        <is>
          <t>FS_R_Rostralanteriorcingulate_Thck</t>
        </is>
      </c>
      <c r="E28" t="inlineStr">
        <is>
          <t>FS_L_Rostralanteriorcingulate_Area</t>
        </is>
      </c>
      <c r="F28" t="inlineStr">
        <is>
          <t>FS_R_Rostralanteriorcingulate_Area</t>
        </is>
      </c>
    </row>
    <row r="29">
      <c r="A29" t="inlineStr">
        <is>
          <t>Rostralmiddlefrontal</t>
        </is>
      </c>
      <c r="B29" t="inlineStr">
        <is>
          <t>Frontal</t>
        </is>
      </c>
      <c r="C29" t="inlineStr">
        <is>
          <t>FS_L_Rostralmiddlefrontal_Thck</t>
        </is>
      </c>
      <c r="D29" t="inlineStr">
        <is>
          <t>FS_R_Rostralmiddlefrontal_Thck</t>
        </is>
      </c>
      <c r="E29" t="inlineStr">
        <is>
          <t>FS_L_Rostralmiddlefrontal_Area</t>
        </is>
      </c>
      <c r="F29" t="inlineStr">
        <is>
          <t>FS_R_Rostralmiddlefrontal_Area</t>
        </is>
      </c>
    </row>
    <row r="30">
      <c r="A30" t="inlineStr">
        <is>
          <t>Superiorfrontal</t>
        </is>
      </c>
      <c r="B30" t="inlineStr">
        <is>
          <t>Frontal</t>
        </is>
      </c>
      <c r="C30" t="inlineStr">
        <is>
          <t>FS_L_Superiorfrontal_Thck</t>
        </is>
      </c>
      <c r="D30" t="inlineStr">
        <is>
          <t>FS_R_Superiorfrontal_Thck</t>
        </is>
      </c>
      <c r="E30" t="inlineStr">
        <is>
          <t>FS_L_Superiorfrontal_Area</t>
        </is>
      </c>
      <c r="F30" t="inlineStr">
        <is>
          <t>FS_R_Superiorfrontal_Area</t>
        </is>
      </c>
    </row>
    <row r="31">
      <c r="A31" t="inlineStr">
        <is>
          <t>Superiorparietal</t>
        </is>
      </c>
      <c r="B31" t="inlineStr">
        <is>
          <t>Parietal</t>
        </is>
      </c>
      <c r="C31" t="inlineStr">
        <is>
          <t>FS_L_Superiorparietal_Thck</t>
        </is>
      </c>
      <c r="D31" t="inlineStr">
        <is>
          <t>FS_R_Superiorparietal_Thck</t>
        </is>
      </c>
      <c r="E31" t="inlineStr">
        <is>
          <t>FS_L_Superiorparietal_Area</t>
        </is>
      </c>
      <c r="F31" t="inlineStr">
        <is>
          <t>FS_R_Superiorparietal_Area</t>
        </is>
      </c>
    </row>
    <row r="32">
      <c r="A32" t="inlineStr">
        <is>
          <t>Superiortemporal</t>
        </is>
      </c>
      <c r="B32" t="inlineStr">
        <is>
          <t>Temporal</t>
        </is>
      </c>
      <c r="C32" t="inlineStr">
        <is>
          <t>FS_L_Superiortemporal_Thck</t>
        </is>
      </c>
      <c r="D32" t="inlineStr">
        <is>
          <t>FS_R_Superiortemporal_Thck</t>
        </is>
      </c>
      <c r="E32" t="inlineStr">
        <is>
          <t>FS_L_Superiortemporal_Area</t>
        </is>
      </c>
      <c r="F32" t="inlineStr">
        <is>
          <t>FS_R_Superiortemporal_Area</t>
        </is>
      </c>
    </row>
    <row r="33">
      <c r="A33" t="inlineStr">
        <is>
          <t>Supramarginal</t>
        </is>
      </c>
      <c r="B33" t="inlineStr">
        <is>
          <t>Parietal</t>
        </is>
      </c>
      <c r="C33" t="inlineStr">
        <is>
          <t>FS_L_Supramarginal_Thck</t>
        </is>
      </c>
      <c r="D33" t="inlineStr">
        <is>
          <t>FS_R_Supramarginal_Thck</t>
        </is>
      </c>
      <c r="E33" t="inlineStr">
        <is>
          <t>FS_L_Supramarginal_Area</t>
        </is>
      </c>
      <c r="F33" t="inlineStr">
        <is>
          <t>FS_R_Supramarginal_Area</t>
        </is>
      </c>
    </row>
    <row r="34">
      <c r="A34" t="inlineStr">
        <is>
          <t>Frontalpole</t>
        </is>
      </c>
      <c r="B34" t="inlineStr">
        <is>
          <t>Frontal</t>
        </is>
      </c>
      <c r="C34" t="inlineStr">
        <is>
          <t>FS_L_Frontalpole_Thck</t>
        </is>
      </c>
      <c r="D34" t="inlineStr">
        <is>
          <t>FS_R_Frontalpole_Thck</t>
        </is>
      </c>
      <c r="E34" t="inlineStr">
        <is>
          <t>FS_L_Frontalpole_Area</t>
        </is>
      </c>
      <c r="F34" t="inlineStr">
        <is>
          <t>FS_R_Frontalpole_Area</t>
        </is>
      </c>
    </row>
    <row r="35">
      <c r="A35" t="inlineStr">
        <is>
          <t>Temporalpole</t>
        </is>
      </c>
      <c r="B35" t="inlineStr">
        <is>
          <t>Temporal</t>
        </is>
      </c>
      <c r="C35" t="inlineStr">
        <is>
          <t>FS_L_Temporalpole_Thck</t>
        </is>
      </c>
      <c r="D35" t="inlineStr">
        <is>
          <t>FS_R_Temporalpole_Thck</t>
        </is>
      </c>
      <c r="E35" t="inlineStr">
        <is>
          <t>FS_L_Temporalpole_Area</t>
        </is>
      </c>
      <c r="F35" t="inlineStr">
        <is>
          <t>FS_R_Temporalpole_Area</t>
        </is>
      </c>
    </row>
    <row r="36">
      <c r="A36" t="inlineStr">
        <is>
          <t>Transversetemporal</t>
        </is>
      </c>
      <c r="B36" t="inlineStr">
        <is>
          <t>Temporal</t>
        </is>
      </c>
      <c r="C36" t="inlineStr">
        <is>
          <t>FS_L_Transversetemporal_Thck</t>
        </is>
      </c>
      <c r="D36" t="inlineStr">
        <is>
          <t>FS_R_Transversetemporal_Thck</t>
        </is>
      </c>
      <c r="E36" t="inlineStr">
        <is>
          <t>FS_L_Transversetemporal_Area</t>
        </is>
      </c>
      <c r="F36" t="inlineStr">
        <is>
          <t>FS_R_Transversetemporal_Area</t>
        </is>
      </c>
    </row>
    <row r="37">
      <c r="A37" t="inlineStr">
        <is>
          <t>Insula</t>
        </is>
      </c>
      <c r="B37" t="inlineStr">
        <is>
          <t>Insular</t>
        </is>
      </c>
      <c r="C37" t="inlineStr">
        <is>
          <t>FS_L_Insula_Thck</t>
        </is>
      </c>
      <c r="D37" t="inlineStr">
        <is>
          <t>FS_R_Insula_Thck</t>
        </is>
      </c>
      <c r="E37" t="inlineStr">
        <is>
          <t>FS_L_Insula_Area</t>
        </is>
      </c>
      <c r="F37" t="inlineStr">
        <is>
          <t>FS_R_Insula_Area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lobe</t>
        </is>
      </c>
      <c r="B1" s="1" t="inlineStr">
        <is>
          <t>dk_n_rois_per_hemi</t>
        </is>
      </c>
      <c r="C1" s="1" t="inlineStr">
        <is>
          <t>glasser_n_rois_lh</t>
        </is>
      </c>
      <c r="D1" s="1" t="inlineStr">
        <is>
          <t>glasser_cingulate_cortices_included</t>
        </is>
      </c>
      <c r="E1" s="1" t="inlineStr">
        <is>
          <t>glasser_cortex_names</t>
        </is>
      </c>
      <c r="F1" s="1" t="inlineStr">
        <is>
          <t>cross_atlas_note</t>
        </is>
      </c>
    </row>
    <row r="2">
      <c r="A2" t="inlineStr">
        <is>
          <t>Frontal</t>
        </is>
      </c>
      <c r="B2" t="n">
        <v>12</v>
      </c>
      <c r="C2" t="n">
        <v>67</v>
      </c>
      <c r="D2" t="inlineStr">
        <is>
          <t>Anterior_Cingulate_and_Medial_Prefrontal; Paracentral_Lobular_and_Mid_Cingulate</t>
        </is>
      </c>
      <c r="E2" t="inlineStr">
        <is>
          <t>Anterior_Cingulate_and_Medial_Prefrontal; Dorsolateral_Prefrontal; Inferior_Frontal; Insular_and_Frontal_Opercular; Orbital_and_Polar_Frontal; Paracentral_Lobular_and_Mid_Cingulate; Posterior_Opercular; Premotor; Somatosensory_and_Motor</t>
        </is>
      </c>
      <c r="F2" t="inlineStr">
        <is>
          <t>Lobe-level comparison only. DK (34 ROIs/hemi) uses macro-anatomical lobe boundaries. Glasser (180 ROIs/hemi) uses fine cytoarchitectonic parcels. DK cingulate ROIs are redistributed to Frontal (anterior/mid) and Parietal (posterior/isthmus) to match Glasser lobe conventions.</t>
        </is>
      </c>
    </row>
    <row r="3">
      <c r="A3" t="inlineStr">
        <is>
          <t>Insular</t>
        </is>
      </c>
      <c r="B3" t="n">
        <v>1</v>
      </c>
      <c r="C3" t="n">
        <v>6</v>
      </c>
      <c r="D3" t="inlineStr"/>
      <c r="E3" t="inlineStr">
        <is>
          <t>Insular_and_Frontal_Opercular</t>
        </is>
      </c>
      <c r="F3" t="inlineStr">
        <is>
          <t>Lobe-level comparison only. DK (34 ROIs/hemi) uses macro-anatomical lobe boundaries. Glasser (180 ROIs/hemi) uses fine cytoarchitectonic parcels. DK cingulate ROIs are redistributed to Frontal (anterior/mid) and Parietal (posterior/isthmus) to match Glasser lobe conventions.</t>
        </is>
      </c>
    </row>
    <row r="4">
      <c r="A4" t="inlineStr">
        <is>
          <t>Occipital</t>
        </is>
      </c>
      <c r="B4" t="n">
        <v>4</v>
      </c>
      <c r="C4" t="n">
        <v>27</v>
      </c>
      <c r="D4" t="inlineStr">
        <is>
          <t>Posterior_Cingulate</t>
        </is>
      </c>
      <c r="E4" t="inlineStr">
        <is>
          <t>Dorsal_Stream_Visual; Early_Visual; Inferior_Parietal; MT+_Complex_and_Neighboring_Visual_Areas; Posterior_Cingulate; Primary_Visual; Temporo-Parieto-Occipital_Junction; Ventral_Stream_Visual</t>
        </is>
      </c>
      <c r="F4" t="inlineStr">
        <is>
          <t>Lobe-level comparison only. DK (34 ROIs/hemi) uses macro-anatomical lobe boundaries. Glasser (180 ROIs/hemi) uses fine cytoarchitectonic parcels. DK cingulate ROIs are redistributed to Frontal (anterior/mid) and Parietal (posterior/isthmus) to match Glasser lobe conventions.</t>
        </is>
      </c>
    </row>
    <row r="5">
      <c r="A5" t="inlineStr">
        <is>
          <t>Parietal</t>
        </is>
      </c>
      <c r="B5" t="n">
        <v>8</v>
      </c>
      <c r="C5" t="n">
        <v>45</v>
      </c>
      <c r="D5" t="inlineStr">
        <is>
          <t>Paracentral_Lobular_and_Mid_Cingulate; Posterior_Cingulate</t>
        </is>
      </c>
      <c r="E5" t="inlineStr">
        <is>
          <t>Dorsal_Stream_Visual; Early_Auditory; Inferior_Parietal; Paracentral_Lobular_and_Mid_Cingulate; Posterior_Cingulate; Posterior_Opercular; Somatosensory_and_Motor; Superior_Parietal; Temporo-Parieto-Occipital_Junction; Temporo-Parieto_Occipital_Junction</t>
        </is>
      </c>
      <c r="F5" t="inlineStr">
        <is>
          <t>Lobe-level comparison only. DK (34 ROIs/hemi) uses macro-anatomical lobe boundaries. Glasser (180 ROIs/hemi) uses fine cytoarchitectonic parcels. DK cingulate ROIs are redistributed to Frontal (anterior/mid) and Parietal (posterior/isthmus) to match Glasser lobe conventions.</t>
        </is>
      </c>
    </row>
    <row r="6">
      <c r="A6" t="inlineStr">
        <is>
          <t>Temporal</t>
        </is>
      </c>
      <c r="B6" t="n">
        <v>9</v>
      </c>
      <c r="C6" t="n">
        <v>35</v>
      </c>
      <c r="D6" t="inlineStr"/>
      <c r="E6" t="inlineStr">
        <is>
          <t>Auditory_Association; Early_Auditory; Insular_and_Frontal_Opercular; Lateral_Temporal; MT+_Complex_and_Neighboring_Visual_Areas; Medial_Temporal; Temporo-Parieto-Occipital_Junction; Ventral_Stream_Visual</t>
        </is>
      </c>
      <c r="F6" t="inlineStr">
        <is>
          <t>Lobe-level comparison only. DK (34 ROIs/hemi) uses macro-anatomical lobe boundaries. Glasser (180 ROIs/hemi) uses fine cytoarchitectonic parcels. DK cingulate ROIs are redistributed to Frontal (anterior/mid) and Parietal (posterior/isthmus) to match Glasser lobe conventions.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t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95% CI [d]</t>
        </is>
      </c>
      <c r="G1" s="1" t="inlineStr">
        <is>
          <t>p_FDR</t>
        </is>
      </c>
      <c r="H1" s="1" t="inlineStr">
        <is>
          <t>FDR sig.</t>
        </is>
      </c>
    </row>
    <row r="2">
      <c r="A2" t="inlineStr">
        <is>
          <t>R_V1_ROI</t>
        </is>
      </c>
      <c r="B2" t="n">
        <v>-1</v>
      </c>
      <c r="C2" t="n">
        <v>1148</v>
      </c>
      <c r="D2">
        <f> 0.318</f>
        <v/>
      </c>
      <c r="E2" t="n">
        <v>-0.06</v>
      </c>
      <c r="F2" t="inlineStr">
        <is>
          <t>[-0.18, 0.06]</t>
        </is>
      </c>
      <c r="G2">
        <f> 0.997</f>
        <v/>
      </c>
      <c r="H2" t="inlineStr"/>
    </row>
    <row r="3">
      <c r="A3" t="inlineStr">
        <is>
          <t>R_MST_ROI</t>
        </is>
      </c>
      <c r="B3" t="n">
        <v>-0.44</v>
      </c>
      <c r="C3" t="n">
        <v>1148</v>
      </c>
      <c r="D3">
        <f> 0.659</f>
        <v/>
      </c>
      <c r="E3" t="n">
        <v>-0.03</v>
      </c>
      <c r="F3" t="inlineStr">
        <is>
          <t>[-0.15, 0.09]</t>
        </is>
      </c>
      <c r="G3">
        <f> 0.997</f>
        <v/>
      </c>
      <c r="H3" t="inlineStr"/>
    </row>
    <row r="4">
      <c r="A4" t="inlineStr">
        <is>
          <t>R_V6_ROI</t>
        </is>
      </c>
      <c r="B4" t="n">
        <v>-0.74</v>
      </c>
      <c r="C4" t="n">
        <v>1148</v>
      </c>
      <c r="D4">
        <f> 0.462</f>
        <v/>
      </c>
      <c r="E4" t="n">
        <v>-0.05</v>
      </c>
      <c r="F4" t="inlineStr">
        <is>
          <t>[-0.17, 0.08]</t>
        </is>
      </c>
      <c r="G4">
        <f> 0.997</f>
        <v/>
      </c>
      <c r="H4" t="inlineStr"/>
    </row>
    <row r="5">
      <c r="A5" t="inlineStr">
        <is>
          <t>R_V2_ROI</t>
        </is>
      </c>
      <c r="B5" t="n">
        <v>-0.9399999999999999</v>
      </c>
      <c r="C5" t="n">
        <v>1148</v>
      </c>
      <c r="D5">
        <f> 0.345</f>
        <v/>
      </c>
      <c r="E5" t="n">
        <v>-0.06</v>
      </c>
      <c r="F5" t="inlineStr">
        <is>
          <t>[-0.18, 0.06]</t>
        </is>
      </c>
      <c r="G5">
        <f> 0.997</f>
        <v/>
      </c>
      <c r="H5" t="inlineStr"/>
    </row>
    <row r="6">
      <c r="A6" t="inlineStr">
        <is>
          <t>R_V3_ROI</t>
        </is>
      </c>
      <c r="B6" t="n">
        <v>0.15</v>
      </c>
      <c r="C6" t="n">
        <v>1148</v>
      </c>
      <c r="D6">
        <f> 0.885</f>
        <v/>
      </c>
      <c r="E6" t="n">
        <v>0.01</v>
      </c>
      <c r="F6" t="inlineStr">
        <is>
          <t>[-0.11, 0.13]</t>
        </is>
      </c>
      <c r="G6">
        <f> 0.997</f>
        <v/>
      </c>
      <c r="H6" t="inlineStr"/>
    </row>
    <row r="7">
      <c r="A7" t="inlineStr">
        <is>
          <t>R_V4_ROI</t>
        </is>
      </c>
      <c r="B7" t="n">
        <v>0.07000000000000001</v>
      </c>
      <c r="C7" t="n">
        <v>1148</v>
      </c>
      <c r="D7">
        <f> 0.945</f>
        <v/>
      </c>
      <c r="E7" t="n">
        <v>0</v>
      </c>
      <c r="F7" t="inlineStr">
        <is>
          <t>[-0.12, 0.13]</t>
        </is>
      </c>
      <c r="G7">
        <f> 0.997</f>
        <v/>
      </c>
      <c r="H7" t="inlineStr"/>
    </row>
    <row r="8">
      <c r="A8" t="inlineStr">
        <is>
          <t>R_V8_ROI</t>
        </is>
      </c>
      <c r="B8" t="n">
        <v>1.29</v>
      </c>
      <c r="C8" t="n">
        <v>1148</v>
      </c>
      <c r="D8">
        <f> 0.196</f>
        <v/>
      </c>
      <c r="E8" t="n">
        <v>0.08</v>
      </c>
      <c r="F8" t="inlineStr">
        <is>
          <t>[-0.04, 0.20]</t>
        </is>
      </c>
      <c r="G8">
        <f> 0.997</f>
        <v/>
      </c>
      <c r="H8" t="inlineStr"/>
    </row>
    <row r="9">
      <c r="A9" t="inlineStr">
        <is>
          <t>R_4_ROI</t>
        </is>
      </c>
      <c r="B9" t="n">
        <v>-0.39</v>
      </c>
      <c r="C9" t="n">
        <v>1148</v>
      </c>
      <c r="D9">
        <f> 0.693</f>
        <v/>
      </c>
      <c r="E9" t="n">
        <v>-0.02</v>
      </c>
      <c r="F9" t="inlineStr">
        <is>
          <t>[-0.15, 0.10]</t>
        </is>
      </c>
      <c r="G9">
        <f> 0.997</f>
        <v/>
      </c>
      <c r="H9" t="inlineStr"/>
    </row>
    <row r="10">
      <c r="A10" t="inlineStr">
        <is>
          <t>R_3b_ROI</t>
        </is>
      </c>
      <c r="B10" t="n">
        <v>-1.72</v>
      </c>
      <c r="C10" t="n">
        <v>1148</v>
      </c>
      <c r="D10">
        <f> 0.087</f>
        <v/>
      </c>
      <c r="E10" t="n">
        <v>-0.11</v>
      </c>
      <c r="F10" t="inlineStr">
        <is>
          <t>[-0.23, 0.01]</t>
        </is>
      </c>
      <c r="G10">
        <f> 0.997</f>
        <v/>
      </c>
      <c r="H10" t="inlineStr"/>
    </row>
    <row r="11">
      <c r="A11" t="inlineStr">
        <is>
          <t>R_FEF_ROI</t>
        </is>
      </c>
      <c r="B11" t="n">
        <v>-0.47</v>
      </c>
      <c r="C11" t="n">
        <v>1148</v>
      </c>
      <c r="D11">
        <f> 0.637</f>
        <v/>
      </c>
      <c r="E11" t="n">
        <v>-0.03</v>
      </c>
      <c r="F11" t="inlineStr">
        <is>
          <t>[-0.15, 0.09]</t>
        </is>
      </c>
      <c r="G11">
        <f> 0.997</f>
        <v/>
      </c>
      <c r="H11" t="inlineStr"/>
    </row>
    <row r="12">
      <c r="A12" t="inlineStr">
        <is>
          <t>R_PEF_ROI</t>
        </is>
      </c>
      <c r="B12" t="n">
        <v>1.2</v>
      </c>
      <c r="C12" t="n">
        <v>1148</v>
      </c>
      <c r="D12">
        <f> 0.230</f>
        <v/>
      </c>
      <c r="E12" t="n">
        <v>0.07000000000000001</v>
      </c>
      <c r="F12" t="inlineStr">
        <is>
          <t>[-0.05, 0.19]</t>
        </is>
      </c>
      <c r="G12">
        <f> 0.997</f>
        <v/>
      </c>
      <c r="H12" t="inlineStr"/>
    </row>
    <row r="13">
      <c r="A13" t="inlineStr">
        <is>
          <t>R_55b_ROI</t>
        </is>
      </c>
      <c r="B13" t="n">
        <v>-1.1</v>
      </c>
      <c r="C13" t="n">
        <v>1148</v>
      </c>
      <c r="D13">
        <f> 0.272</f>
        <v/>
      </c>
      <c r="E13" t="n">
        <v>-0.07000000000000001</v>
      </c>
      <c r="F13" t="inlineStr">
        <is>
          <t>[-0.19, 0.05]</t>
        </is>
      </c>
      <c r="G13">
        <f> 0.997</f>
        <v/>
      </c>
      <c r="H13" t="inlineStr"/>
    </row>
    <row r="14">
      <c r="A14" t="inlineStr">
        <is>
          <t>R_V3A_ROI</t>
        </is>
      </c>
      <c r="B14" t="n">
        <v>-0.44</v>
      </c>
      <c r="C14" t="n">
        <v>1148</v>
      </c>
      <c r="D14">
        <f> 0.660</f>
        <v/>
      </c>
      <c r="E14" t="n">
        <v>-0.03</v>
      </c>
      <c r="F14" t="inlineStr">
        <is>
          <t>[-0.15, 0.09]</t>
        </is>
      </c>
      <c r="G14">
        <f> 0.997</f>
        <v/>
      </c>
      <c r="H14" t="inlineStr"/>
    </row>
    <row r="15">
      <c r="A15" t="inlineStr">
        <is>
          <t>R_RSC_ROI</t>
        </is>
      </c>
      <c r="B15" t="n">
        <v>1.22</v>
      </c>
      <c r="C15" t="n">
        <v>1148</v>
      </c>
      <c r="D15">
        <f> 0.224</f>
        <v/>
      </c>
      <c r="E15" t="n">
        <v>0.08</v>
      </c>
      <c r="F15" t="inlineStr">
        <is>
          <t>[-0.05, 0.20]</t>
        </is>
      </c>
      <c r="G15">
        <f> 0.997</f>
        <v/>
      </c>
      <c r="H15" t="inlineStr"/>
    </row>
    <row r="16">
      <c r="A16" t="inlineStr">
        <is>
          <t>R_POS2_ROI</t>
        </is>
      </c>
      <c r="B16" t="n">
        <v>-0.6899999999999999</v>
      </c>
      <c r="C16" t="n">
        <v>1148</v>
      </c>
      <c r="D16">
        <f> 0.489</f>
        <v/>
      </c>
      <c r="E16" t="n">
        <v>-0.04</v>
      </c>
      <c r="F16" t="inlineStr">
        <is>
          <t>[-0.17, 0.08]</t>
        </is>
      </c>
      <c r="G16">
        <f> 0.997</f>
        <v/>
      </c>
      <c r="H16" t="inlineStr"/>
    </row>
    <row r="17">
      <c r="A17" t="inlineStr">
        <is>
          <t>R_V7_ROI</t>
        </is>
      </c>
      <c r="B17" t="n">
        <v>-0.83</v>
      </c>
      <c r="C17" t="n">
        <v>1148</v>
      </c>
      <c r="D17">
        <f> 0.406</f>
        <v/>
      </c>
      <c r="E17" t="n">
        <v>-0.05</v>
      </c>
      <c r="F17" t="inlineStr">
        <is>
          <t>[-0.17, 0.07]</t>
        </is>
      </c>
      <c r="G17">
        <f> 0.997</f>
        <v/>
      </c>
      <c r="H17" t="inlineStr"/>
    </row>
    <row r="18">
      <c r="A18" t="inlineStr">
        <is>
          <t>R_IPS1_ROI</t>
        </is>
      </c>
      <c r="B18" t="n">
        <v>-0.74</v>
      </c>
      <c r="C18" t="n">
        <v>1148</v>
      </c>
      <c r="D18">
        <f> 0.462</f>
        <v/>
      </c>
      <c r="E18" t="n">
        <v>-0.05</v>
      </c>
      <c r="F18" t="inlineStr">
        <is>
          <t>[-0.17, 0.08]</t>
        </is>
      </c>
      <c r="G18">
        <f> 0.997</f>
        <v/>
      </c>
      <c r="H18" t="inlineStr"/>
    </row>
    <row r="19">
      <c r="A19" t="inlineStr">
        <is>
          <t>R_FFC_ROI</t>
        </is>
      </c>
      <c r="B19" t="n">
        <v>-0.04</v>
      </c>
      <c r="C19" t="n">
        <v>1148</v>
      </c>
      <c r="D19">
        <f> 0.966</f>
        <v/>
      </c>
      <c r="E19" t="n">
        <v>-0</v>
      </c>
      <c r="F19" t="inlineStr">
        <is>
          <t>[-0.12, 0.12]</t>
        </is>
      </c>
      <c r="G19">
        <f> 0.997</f>
        <v/>
      </c>
      <c r="H19" t="inlineStr"/>
    </row>
    <row r="20">
      <c r="A20" t="inlineStr">
        <is>
          <t>R_V3B_ROI</t>
        </is>
      </c>
      <c r="B20" t="n">
        <v>0.66</v>
      </c>
      <c r="C20" t="n">
        <v>1148</v>
      </c>
      <c r="D20">
        <f> 0.511</f>
        <v/>
      </c>
      <c r="E20" t="n">
        <v>0.04</v>
      </c>
      <c r="F20" t="inlineStr">
        <is>
          <t>[-0.08, 0.16]</t>
        </is>
      </c>
      <c r="G20">
        <f> 0.997</f>
        <v/>
      </c>
      <c r="H20" t="inlineStr"/>
    </row>
    <row r="21">
      <c r="A21" t="inlineStr">
        <is>
          <t>R_LO1_ROI</t>
        </is>
      </c>
      <c r="B21" t="n">
        <v>-0.37</v>
      </c>
      <c r="C21" t="n">
        <v>1148</v>
      </c>
      <c r="D21">
        <f> 0.710</f>
        <v/>
      </c>
      <c r="E21" t="n">
        <v>-0.02</v>
      </c>
      <c r="F21" t="inlineStr">
        <is>
          <t>[-0.14, 0.10]</t>
        </is>
      </c>
      <c r="G21">
        <f> 0.997</f>
        <v/>
      </c>
      <c r="H21" t="inlineStr"/>
    </row>
    <row r="22">
      <c r="A22" t="inlineStr">
        <is>
          <t>R_LO2_ROI</t>
        </is>
      </c>
      <c r="B22" t="n">
        <v>0.86</v>
      </c>
      <c r="C22" t="n">
        <v>1148</v>
      </c>
      <c r="D22">
        <f> 0.390</f>
        <v/>
      </c>
      <c r="E22" t="n">
        <v>0.05</v>
      </c>
      <c r="F22" t="inlineStr">
        <is>
          <t>[-0.07, 0.18]</t>
        </is>
      </c>
      <c r="G22">
        <f> 0.997</f>
        <v/>
      </c>
      <c r="H22" t="inlineStr"/>
    </row>
    <row r="23">
      <c r="A23" t="inlineStr">
        <is>
          <t>R_PIT_ROI</t>
        </is>
      </c>
      <c r="B23" t="n">
        <v>-0.24</v>
      </c>
      <c r="C23" t="n">
        <v>1148</v>
      </c>
      <c r="D23">
        <f> 0.811</f>
        <v/>
      </c>
      <c r="E23" t="n">
        <v>-0.01</v>
      </c>
      <c r="F23" t="inlineStr">
        <is>
          <t>[-0.14, 0.11]</t>
        </is>
      </c>
      <c r="G23">
        <f> 0.997</f>
        <v/>
      </c>
      <c r="H23" t="inlineStr"/>
    </row>
    <row r="24">
      <c r="A24" t="inlineStr">
        <is>
          <t>R_MT_ROI</t>
        </is>
      </c>
      <c r="B24" t="n">
        <v>-0.53</v>
      </c>
      <c r="C24" t="n">
        <v>1148</v>
      </c>
      <c r="D24">
        <f> 0.598</f>
        <v/>
      </c>
      <c r="E24" t="n">
        <v>-0.03</v>
      </c>
      <c r="F24" t="inlineStr">
        <is>
          <t>[-0.15, 0.09]</t>
        </is>
      </c>
      <c r="G24">
        <f> 0.997</f>
        <v/>
      </c>
      <c r="H24" t="inlineStr"/>
    </row>
    <row r="25">
      <c r="A25" t="inlineStr">
        <is>
          <t>R_A1_ROI</t>
        </is>
      </c>
      <c r="B25" t="n">
        <v>-0.32</v>
      </c>
      <c r="C25" t="n">
        <v>1148</v>
      </c>
      <c r="D25">
        <f> 0.746</f>
        <v/>
      </c>
      <c r="E25" t="n">
        <v>-0.02</v>
      </c>
      <c r="F25" t="inlineStr">
        <is>
          <t>[-0.14, 0.10]</t>
        </is>
      </c>
      <c r="G25">
        <f> 0.997</f>
        <v/>
      </c>
      <c r="H25" t="inlineStr"/>
    </row>
    <row r="26">
      <c r="A26" t="inlineStr">
        <is>
          <t>R_PSL_ROI</t>
        </is>
      </c>
      <c r="B26" t="n">
        <v>0.51</v>
      </c>
      <c r="C26" t="n">
        <v>1148</v>
      </c>
      <c r="D26">
        <f> 0.611</f>
        <v/>
      </c>
      <c r="E26" t="n">
        <v>0.03</v>
      </c>
      <c r="F26" t="inlineStr">
        <is>
          <t>[-0.09, 0.15]</t>
        </is>
      </c>
      <c r="G26">
        <f> 0.997</f>
        <v/>
      </c>
      <c r="H26" t="inlineStr"/>
    </row>
    <row r="27">
      <c r="A27" t="inlineStr">
        <is>
          <t>R_SFL_ROI</t>
        </is>
      </c>
      <c r="B27" t="n">
        <v>-0.19</v>
      </c>
      <c r="C27" t="n">
        <v>1148</v>
      </c>
      <c r="D27">
        <f> 0.850</f>
        <v/>
      </c>
      <c r="E27" t="n">
        <v>-0.01</v>
      </c>
      <c r="F27" t="inlineStr">
        <is>
          <t>[-0.13, 0.11]</t>
        </is>
      </c>
      <c r="G27">
        <f> 0.997</f>
        <v/>
      </c>
      <c r="H27" t="inlineStr"/>
    </row>
    <row r="28">
      <c r="A28" t="inlineStr">
        <is>
          <t>R_PCV_ROI</t>
        </is>
      </c>
      <c r="B28" t="n">
        <v>-2.44</v>
      </c>
      <c r="C28" t="n">
        <v>1148</v>
      </c>
      <c r="D28">
        <f> 0.015</f>
        <v/>
      </c>
      <c r="E28" t="n">
        <v>-0.15</v>
      </c>
      <c r="F28" t="inlineStr">
        <is>
          <t>[-0.27, -0.03]</t>
        </is>
      </c>
      <c r="G28">
        <f> 0.997</f>
        <v/>
      </c>
      <c r="H28" t="inlineStr"/>
    </row>
    <row r="29">
      <c r="A29" t="inlineStr">
        <is>
          <t>R_STV_ROI</t>
        </is>
      </c>
      <c r="B29" t="n">
        <v>-0.19</v>
      </c>
      <c r="C29" t="n">
        <v>1148</v>
      </c>
      <c r="D29">
        <f> 0.850</f>
        <v/>
      </c>
      <c r="E29" t="n">
        <v>-0.01</v>
      </c>
      <c r="F29" t="inlineStr">
        <is>
          <t>[-0.13, 0.11]</t>
        </is>
      </c>
      <c r="G29">
        <f> 0.997</f>
        <v/>
      </c>
      <c r="H29" t="inlineStr"/>
    </row>
    <row r="30">
      <c r="A30" t="inlineStr">
        <is>
          <t>R_7Pm_ROI</t>
        </is>
      </c>
      <c r="B30" t="n">
        <v>-1.53</v>
      </c>
      <c r="C30" t="n">
        <v>1148</v>
      </c>
      <c r="D30">
        <f> 0.126</f>
        <v/>
      </c>
      <c r="E30" t="n">
        <v>-0.09</v>
      </c>
      <c r="F30" t="inlineStr">
        <is>
          <t>[-0.22, 0.03]</t>
        </is>
      </c>
      <c r="G30">
        <f> 0.997</f>
        <v/>
      </c>
      <c r="H30" t="inlineStr"/>
    </row>
    <row r="31">
      <c r="A31" t="inlineStr">
        <is>
          <t>R_7m_ROI</t>
        </is>
      </c>
      <c r="B31" t="n">
        <v>0.41</v>
      </c>
      <c r="C31" t="n">
        <v>1148</v>
      </c>
      <c r="D31">
        <f> 0.680</f>
        <v/>
      </c>
      <c r="E31" t="n">
        <v>0.03</v>
      </c>
      <c r="F31" t="inlineStr">
        <is>
          <t>[-0.10, 0.15]</t>
        </is>
      </c>
      <c r="G31">
        <f> 0.997</f>
        <v/>
      </c>
      <c r="H31" t="inlineStr"/>
    </row>
    <row r="32">
      <c r="A32" t="inlineStr">
        <is>
          <t>R_POS1_ROI</t>
        </is>
      </c>
      <c r="B32" t="n">
        <v>0.71</v>
      </c>
      <c r="C32" t="n">
        <v>1148</v>
      </c>
      <c r="D32">
        <f> 0.477</f>
        <v/>
      </c>
      <c r="E32" t="n">
        <v>0.04</v>
      </c>
      <c r="F32" t="inlineStr">
        <is>
          <t>[-0.08, 0.17]</t>
        </is>
      </c>
      <c r="G32">
        <f> 0.997</f>
        <v/>
      </c>
      <c r="H32" t="inlineStr"/>
    </row>
    <row r="33">
      <c r="A33" t="inlineStr">
        <is>
          <t>R_23d_ROI</t>
        </is>
      </c>
      <c r="B33" t="n">
        <v>-0.24</v>
      </c>
      <c r="C33" t="n">
        <v>1148</v>
      </c>
      <c r="D33">
        <f> 0.809</f>
        <v/>
      </c>
      <c r="E33" t="n">
        <v>-0.01</v>
      </c>
      <c r="F33" t="inlineStr">
        <is>
          <t>[-0.14, 0.11]</t>
        </is>
      </c>
      <c r="G33">
        <f> 0.997</f>
        <v/>
      </c>
      <c r="H33" t="inlineStr"/>
    </row>
    <row r="34">
      <c r="A34" t="inlineStr">
        <is>
          <t>R_v23ab_ROI</t>
        </is>
      </c>
      <c r="B34" t="n">
        <v>0.57</v>
      </c>
      <c r="C34" t="n">
        <v>1148</v>
      </c>
      <c r="D34">
        <f> 0.566</f>
        <v/>
      </c>
      <c r="E34" t="n">
        <v>0.04</v>
      </c>
      <c r="F34" t="inlineStr">
        <is>
          <t>[-0.09, 0.16]</t>
        </is>
      </c>
      <c r="G34">
        <f> 0.997</f>
        <v/>
      </c>
      <c r="H34" t="inlineStr"/>
    </row>
    <row r="35">
      <c r="A35" t="inlineStr">
        <is>
          <t>R_d23ab_ROI</t>
        </is>
      </c>
      <c r="B35" t="n">
        <v>-0.74</v>
      </c>
      <c r="C35" t="n">
        <v>1148</v>
      </c>
      <c r="D35">
        <f> 0.462</f>
        <v/>
      </c>
      <c r="E35" t="n">
        <v>-0.05</v>
      </c>
      <c r="F35" t="inlineStr">
        <is>
          <t>[-0.17, 0.08]</t>
        </is>
      </c>
      <c r="G35">
        <f> 0.997</f>
        <v/>
      </c>
      <c r="H35" t="inlineStr"/>
    </row>
    <row r="36">
      <c r="A36" t="inlineStr">
        <is>
          <t>R_31pv_ROI</t>
        </is>
      </c>
      <c r="B36" t="n">
        <v>-0.25</v>
      </c>
      <c r="C36" t="n">
        <v>1148</v>
      </c>
      <c r="D36">
        <f> 0.800</f>
        <v/>
      </c>
      <c r="E36" t="n">
        <v>-0.02</v>
      </c>
      <c r="F36" t="inlineStr">
        <is>
          <t>[-0.14, 0.11]</t>
        </is>
      </c>
      <c r="G36">
        <f> 0.997</f>
        <v/>
      </c>
      <c r="H36" t="inlineStr"/>
    </row>
    <row r="37">
      <c r="A37" t="inlineStr">
        <is>
          <t>R_5m_ROI</t>
        </is>
      </c>
      <c r="B37" t="n">
        <v>0.48</v>
      </c>
      <c r="C37" t="n">
        <v>1148</v>
      </c>
      <c r="D37">
        <f> 0.628</f>
        <v/>
      </c>
      <c r="E37" t="n">
        <v>0.03</v>
      </c>
      <c r="F37" t="inlineStr">
        <is>
          <t>[-0.09, 0.15]</t>
        </is>
      </c>
      <c r="G37">
        <f> 0.997</f>
        <v/>
      </c>
      <c r="H37" t="inlineStr"/>
    </row>
    <row r="38">
      <c r="A38" t="inlineStr">
        <is>
          <t>R_5mv_ROI</t>
        </is>
      </c>
      <c r="B38" t="n">
        <v>-0.11</v>
      </c>
      <c r="C38" t="n">
        <v>1148</v>
      </c>
      <c r="D38">
        <f> 0.913</f>
        <v/>
      </c>
      <c r="E38" t="n">
        <v>-0.01</v>
      </c>
      <c r="F38" t="inlineStr">
        <is>
          <t>[-0.13, 0.11]</t>
        </is>
      </c>
      <c r="G38">
        <f> 0.997</f>
        <v/>
      </c>
      <c r="H38" t="inlineStr"/>
    </row>
    <row r="39">
      <c r="A39" t="inlineStr">
        <is>
          <t>R_23c_ROI</t>
        </is>
      </c>
      <c r="B39" t="n">
        <v>-0.96</v>
      </c>
      <c r="C39" t="n">
        <v>1148</v>
      </c>
      <c r="D39">
        <f> 0.338</f>
        <v/>
      </c>
      <c r="E39" t="n">
        <v>-0.06</v>
      </c>
      <c r="F39" t="inlineStr">
        <is>
          <t>[-0.18, 0.06]</t>
        </is>
      </c>
      <c r="G39">
        <f> 0.997</f>
        <v/>
      </c>
      <c r="H39" t="inlineStr"/>
    </row>
    <row r="40">
      <c r="A40" t="inlineStr">
        <is>
          <t>R_5L_ROI</t>
        </is>
      </c>
      <c r="B40" t="n">
        <v>-1.65</v>
      </c>
      <c r="C40" t="n">
        <v>1148</v>
      </c>
      <c r="D40">
        <f> 0.099</f>
        <v/>
      </c>
      <c r="E40" t="n">
        <v>-0.1</v>
      </c>
      <c r="F40" t="inlineStr">
        <is>
          <t>[-0.23, 0.02]</t>
        </is>
      </c>
      <c r="G40">
        <f> 0.997</f>
        <v/>
      </c>
      <c r="H40" t="inlineStr"/>
    </row>
    <row r="41">
      <c r="A41" t="inlineStr">
        <is>
          <t>R_24dd_ROI</t>
        </is>
      </c>
      <c r="B41" t="n">
        <v>0.1</v>
      </c>
      <c r="C41" t="n">
        <v>1148</v>
      </c>
      <c r="D41">
        <f> 0.917</f>
        <v/>
      </c>
      <c r="E41" t="n">
        <v>0.01</v>
      </c>
      <c r="F41" t="inlineStr">
        <is>
          <t>[-0.12, 0.13]</t>
        </is>
      </c>
      <c r="G41">
        <f> 0.997</f>
        <v/>
      </c>
      <c r="H41" t="inlineStr"/>
    </row>
    <row r="42">
      <c r="A42" t="inlineStr">
        <is>
          <t>R_24dv_ROI</t>
        </is>
      </c>
      <c r="B42" t="n">
        <v>-0.24</v>
      </c>
      <c r="C42" t="n">
        <v>1148</v>
      </c>
      <c r="D42">
        <f> 0.814</f>
        <v/>
      </c>
      <c r="E42" t="n">
        <v>-0.01</v>
      </c>
      <c r="F42" t="inlineStr">
        <is>
          <t>[-0.14, 0.11]</t>
        </is>
      </c>
      <c r="G42">
        <f> 0.997</f>
        <v/>
      </c>
      <c r="H42" t="inlineStr"/>
    </row>
    <row r="43">
      <c r="A43" t="inlineStr">
        <is>
          <t>R_7AL_ROI</t>
        </is>
      </c>
      <c r="B43" t="n">
        <v>-1.02</v>
      </c>
      <c r="C43" t="n">
        <v>1148</v>
      </c>
      <c r="D43">
        <f> 0.309</f>
        <v/>
      </c>
      <c r="E43" t="n">
        <v>-0.06</v>
      </c>
      <c r="F43" t="inlineStr">
        <is>
          <t>[-0.18, 0.06]</t>
        </is>
      </c>
      <c r="G43">
        <f> 0.997</f>
        <v/>
      </c>
      <c r="H43" t="inlineStr"/>
    </row>
    <row r="44">
      <c r="A44" t="inlineStr">
        <is>
          <t>R_SCEF_ROI</t>
        </is>
      </c>
      <c r="B44" t="n">
        <v>-0.8100000000000001</v>
      </c>
      <c r="C44" t="n">
        <v>1148</v>
      </c>
      <c r="D44">
        <f> 0.421</f>
        <v/>
      </c>
      <c r="E44" t="n">
        <v>-0.05</v>
      </c>
      <c r="F44" t="inlineStr">
        <is>
          <t>[-0.17, 0.07]</t>
        </is>
      </c>
      <c r="G44">
        <f> 0.997</f>
        <v/>
      </c>
      <c r="H44" t="inlineStr"/>
    </row>
    <row r="45">
      <c r="A45" t="inlineStr">
        <is>
          <t>R_6ma_ROI</t>
        </is>
      </c>
      <c r="B45" t="n">
        <v>-0.01</v>
      </c>
      <c r="C45" t="n">
        <v>1148</v>
      </c>
      <c r="D45">
        <f> 0.992</f>
        <v/>
      </c>
      <c r="E45" t="n">
        <v>-0</v>
      </c>
      <c r="F45" t="inlineStr">
        <is>
          <t>[-0.12, 0.12]</t>
        </is>
      </c>
      <c r="G45">
        <f> 0.997</f>
        <v/>
      </c>
      <c r="H45" t="inlineStr"/>
    </row>
    <row r="46">
      <c r="A46" t="inlineStr">
        <is>
          <t>R_7Am_ROI</t>
        </is>
      </c>
      <c r="B46" t="n">
        <v>-1.29</v>
      </c>
      <c r="C46" t="n">
        <v>1148</v>
      </c>
      <c r="D46">
        <f> 0.199</f>
        <v/>
      </c>
      <c r="E46" t="n">
        <v>-0.08</v>
      </c>
      <c r="F46" t="inlineStr">
        <is>
          <t>[-0.20, 0.04]</t>
        </is>
      </c>
      <c r="G46">
        <f> 0.997</f>
        <v/>
      </c>
      <c r="H46" t="inlineStr"/>
    </row>
    <row r="47">
      <c r="A47" t="inlineStr">
        <is>
          <t>R_7PL_ROI</t>
        </is>
      </c>
      <c r="B47" t="n">
        <v>-0.48</v>
      </c>
      <c r="C47" t="n">
        <v>1148</v>
      </c>
      <c r="D47">
        <f> 0.635</f>
        <v/>
      </c>
      <c r="E47" t="n">
        <v>-0.03</v>
      </c>
      <c r="F47" t="inlineStr">
        <is>
          <t>[-0.15, 0.09]</t>
        </is>
      </c>
      <c r="G47">
        <f> 0.997</f>
        <v/>
      </c>
      <c r="H47" t="inlineStr"/>
    </row>
    <row r="48">
      <c r="A48" t="inlineStr">
        <is>
          <t>R_7PC_ROI</t>
        </is>
      </c>
      <c r="B48" t="n">
        <v>-1</v>
      </c>
      <c r="C48" t="n">
        <v>1148</v>
      </c>
      <c r="D48">
        <f> 0.319</f>
        <v/>
      </c>
      <c r="E48" t="n">
        <v>-0.06</v>
      </c>
      <c r="F48" t="inlineStr">
        <is>
          <t>[-0.18, 0.06]</t>
        </is>
      </c>
      <c r="G48">
        <f> 0.997</f>
        <v/>
      </c>
      <c r="H48" t="inlineStr"/>
    </row>
    <row r="49">
      <c r="A49" t="inlineStr">
        <is>
          <t>R_LIPv_ROI</t>
        </is>
      </c>
      <c r="B49" t="n">
        <v>-1.52</v>
      </c>
      <c r="C49" t="n">
        <v>1148</v>
      </c>
      <c r="D49">
        <f> 0.128</f>
        <v/>
      </c>
      <c r="E49" t="n">
        <v>-0.1</v>
      </c>
      <c r="F49" t="inlineStr">
        <is>
          <t>[-0.22, 0.03]</t>
        </is>
      </c>
      <c r="G49">
        <f> 0.997</f>
        <v/>
      </c>
      <c r="H49" t="inlineStr"/>
    </row>
    <row r="50">
      <c r="A50" t="inlineStr">
        <is>
          <t>R_VIP_ROI</t>
        </is>
      </c>
      <c r="B50" t="n">
        <v>-1.33</v>
      </c>
      <c r="C50" t="n">
        <v>1148</v>
      </c>
      <c r="D50">
        <f> 0.183</f>
        <v/>
      </c>
      <c r="E50" t="n">
        <v>-0.08</v>
      </c>
      <c r="F50" t="inlineStr">
        <is>
          <t>[-0.20, 0.04]</t>
        </is>
      </c>
      <c r="G50">
        <f> 0.997</f>
        <v/>
      </c>
      <c r="H50" t="inlineStr"/>
    </row>
    <row r="51">
      <c r="A51" t="inlineStr">
        <is>
          <t>R_MIP_ROI</t>
        </is>
      </c>
      <c r="B51" t="n">
        <v>-1.09</v>
      </c>
      <c r="C51" t="n">
        <v>1148</v>
      </c>
      <c r="D51">
        <f> 0.274</f>
        <v/>
      </c>
      <c r="E51" t="n">
        <v>-0.07000000000000001</v>
      </c>
      <c r="F51" t="inlineStr">
        <is>
          <t>[-0.19, 0.05]</t>
        </is>
      </c>
      <c r="G51">
        <f> 0.997</f>
        <v/>
      </c>
      <c r="H51" t="inlineStr"/>
    </row>
    <row r="52">
      <c r="A52" t="inlineStr">
        <is>
          <t>R_1_ROI</t>
        </is>
      </c>
      <c r="B52" t="n">
        <v>-0.66</v>
      </c>
      <c r="C52" t="n">
        <v>1148</v>
      </c>
      <c r="D52">
        <f> 0.507</f>
        <v/>
      </c>
      <c r="E52" t="n">
        <v>-0.04</v>
      </c>
      <c r="F52" t="inlineStr">
        <is>
          <t>[-0.16, 0.08]</t>
        </is>
      </c>
      <c r="G52">
        <f> 0.997</f>
        <v/>
      </c>
      <c r="H52" t="inlineStr"/>
    </row>
    <row r="53">
      <c r="A53" t="inlineStr">
        <is>
          <t>R_2_ROI</t>
        </is>
      </c>
      <c r="B53" t="n">
        <v>-1.39</v>
      </c>
      <c r="C53" t="n">
        <v>1148</v>
      </c>
      <c r="D53">
        <f> 0.165</f>
        <v/>
      </c>
      <c r="E53" t="n">
        <v>-0.09</v>
      </c>
      <c r="F53" t="inlineStr">
        <is>
          <t>[-0.21, 0.04]</t>
        </is>
      </c>
      <c r="G53">
        <f> 0.997</f>
        <v/>
      </c>
      <c r="H53" t="inlineStr"/>
    </row>
    <row r="54">
      <c r="A54" t="inlineStr">
        <is>
          <t>R_3a_ROI</t>
        </is>
      </c>
      <c r="B54" t="n">
        <v>-1.77</v>
      </c>
      <c r="C54" t="n">
        <v>1148</v>
      </c>
      <c r="D54">
        <f> 0.077</f>
        <v/>
      </c>
      <c r="E54" t="n">
        <v>-0.11</v>
      </c>
      <c r="F54" t="inlineStr">
        <is>
          <t>[-0.23, 0.01]</t>
        </is>
      </c>
      <c r="G54">
        <f> 0.997</f>
        <v/>
      </c>
      <c r="H54" t="inlineStr"/>
    </row>
    <row r="55">
      <c r="A55" t="inlineStr">
        <is>
          <t>R_6d_ROI</t>
        </is>
      </c>
      <c r="B55" t="n">
        <v>-0.01</v>
      </c>
      <c r="C55" t="n">
        <v>1148</v>
      </c>
      <c r="D55">
        <f> 0.993</f>
        <v/>
      </c>
      <c r="E55" t="n">
        <v>-0</v>
      </c>
      <c r="F55" t="inlineStr">
        <is>
          <t>[-0.12, 0.12]</t>
        </is>
      </c>
      <c r="G55">
        <f> 0.997</f>
        <v/>
      </c>
      <c r="H55" t="inlineStr"/>
    </row>
    <row r="56">
      <c r="A56" t="inlineStr">
        <is>
          <t>R_6mp_ROI</t>
        </is>
      </c>
      <c r="B56" t="n">
        <v>-1.33</v>
      </c>
      <c r="C56" t="n">
        <v>1148</v>
      </c>
      <c r="D56">
        <f> 0.182</f>
        <v/>
      </c>
      <c r="E56" t="n">
        <v>-0.08</v>
      </c>
      <c r="F56" t="inlineStr">
        <is>
          <t>[-0.21, 0.04]</t>
        </is>
      </c>
      <c r="G56">
        <f> 0.997</f>
        <v/>
      </c>
      <c r="H56" t="inlineStr"/>
    </row>
    <row r="57">
      <c r="A57" t="inlineStr">
        <is>
          <t>R_6v_ROI</t>
        </is>
      </c>
      <c r="B57" t="n">
        <v>-1.06</v>
      </c>
      <c r="C57" t="n">
        <v>1148</v>
      </c>
      <c r="D57">
        <f> 0.289</f>
        <v/>
      </c>
      <c r="E57" t="n">
        <v>-0.07000000000000001</v>
      </c>
      <c r="F57" t="inlineStr">
        <is>
          <t>[-0.19, 0.05]</t>
        </is>
      </c>
      <c r="G57">
        <f> 0.997</f>
        <v/>
      </c>
      <c r="H57" t="inlineStr"/>
    </row>
    <row r="58">
      <c r="A58" t="inlineStr">
        <is>
          <t>R_p24pr_ROI</t>
        </is>
      </c>
      <c r="B58" t="n">
        <v>0.22</v>
      </c>
      <c r="C58" t="n">
        <v>1148</v>
      </c>
      <c r="D58">
        <f> 0.828</f>
        <v/>
      </c>
      <c r="E58" t="n">
        <v>0.01</v>
      </c>
      <c r="F58" t="inlineStr">
        <is>
          <t>[-0.11, 0.13]</t>
        </is>
      </c>
      <c r="G58">
        <f> 0.997</f>
        <v/>
      </c>
      <c r="H58" t="inlineStr"/>
    </row>
    <row r="59">
      <c r="A59" t="inlineStr">
        <is>
          <t>R_33pr_ROI</t>
        </is>
      </c>
      <c r="B59" t="n">
        <v>0.67</v>
      </c>
      <c r="C59" t="n">
        <v>1148</v>
      </c>
      <c r="D59">
        <f> 0.505</f>
        <v/>
      </c>
      <c r="E59" t="n">
        <v>0.04</v>
      </c>
      <c r="F59" t="inlineStr">
        <is>
          <t>[-0.08, 0.16]</t>
        </is>
      </c>
      <c r="G59">
        <f> 0.997</f>
        <v/>
      </c>
      <c r="H59" t="inlineStr"/>
    </row>
    <row r="60">
      <c r="A60" t="inlineStr">
        <is>
          <t>R_a24pr_ROI</t>
        </is>
      </c>
      <c r="B60" t="n">
        <v>-1.02</v>
      </c>
      <c r="C60" t="n">
        <v>1148</v>
      </c>
      <c r="D60">
        <f> 0.308</f>
        <v/>
      </c>
      <c r="E60" t="n">
        <v>-0.06</v>
      </c>
      <c r="F60" t="inlineStr">
        <is>
          <t>[-0.18, 0.06]</t>
        </is>
      </c>
      <c r="G60">
        <f> 0.997</f>
        <v/>
      </c>
      <c r="H60" t="inlineStr"/>
    </row>
    <row r="61">
      <c r="A61" t="inlineStr">
        <is>
          <t>R_p32pr_ROI</t>
        </is>
      </c>
      <c r="B61" t="n">
        <v>-0.07000000000000001</v>
      </c>
      <c r="C61" t="n">
        <v>1148</v>
      </c>
      <c r="D61">
        <f> 0.948</f>
        <v/>
      </c>
      <c r="E61" t="n">
        <v>-0</v>
      </c>
      <c r="F61" t="inlineStr">
        <is>
          <t>[-0.13, 0.12]</t>
        </is>
      </c>
      <c r="G61">
        <f> 0.997</f>
        <v/>
      </c>
      <c r="H61" t="inlineStr"/>
    </row>
    <row r="62">
      <c r="A62" t="inlineStr">
        <is>
          <t>R_a24_ROI</t>
        </is>
      </c>
      <c r="B62" t="n">
        <v>-1.6</v>
      </c>
      <c r="C62" t="n">
        <v>1148</v>
      </c>
      <c r="D62">
        <f> 0.110</f>
        <v/>
      </c>
      <c r="E62" t="n">
        <v>-0.1</v>
      </c>
      <c r="F62" t="inlineStr">
        <is>
          <t>[-0.22, 0.02]</t>
        </is>
      </c>
      <c r="G62">
        <f> 0.997</f>
        <v/>
      </c>
      <c r="H62" t="inlineStr"/>
    </row>
    <row r="63">
      <c r="A63" t="inlineStr">
        <is>
          <t>R_d32_ROI</t>
        </is>
      </c>
      <c r="B63" t="n">
        <v>0.39</v>
      </c>
      <c r="C63" t="n">
        <v>1148</v>
      </c>
      <c r="D63">
        <f> 0.696</f>
        <v/>
      </c>
      <c r="E63" t="n">
        <v>0.02</v>
      </c>
      <c r="F63" t="inlineStr">
        <is>
          <t>[-0.10, 0.15]</t>
        </is>
      </c>
      <c r="G63">
        <f> 0.997</f>
        <v/>
      </c>
      <c r="H63" t="inlineStr"/>
    </row>
    <row r="64">
      <c r="A64" t="inlineStr">
        <is>
          <t>R_8BM_ROI</t>
        </is>
      </c>
      <c r="B64" t="n">
        <v>0.17</v>
      </c>
      <c r="C64" t="n">
        <v>1148</v>
      </c>
      <c r="D64">
        <f> 0.867</f>
        <v/>
      </c>
      <c r="E64" t="n">
        <v>0.01</v>
      </c>
      <c r="F64" t="inlineStr">
        <is>
          <t>[-0.11, 0.13]</t>
        </is>
      </c>
      <c r="G64">
        <f> 0.997</f>
        <v/>
      </c>
      <c r="H64" t="inlineStr"/>
    </row>
    <row r="65">
      <c r="A65" t="inlineStr">
        <is>
          <t>R_p32_ROI</t>
        </is>
      </c>
      <c r="B65" t="n">
        <v>-0.85</v>
      </c>
      <c r="C65" t="n">
        <v>1148</v>
      </c>
      <c r="D65">
        <f> 0.394</f>
        <v/>
      </c>
      <c r="E65" t="n">
        <v>-0.05</v>
      </c>
      <c r="F65" t="inlineStr">
        <is>
          <t>[-0.17, 0.07]</t>
        </is>
      </c>
      <c r="G65">
        <f> 0.997</f>
        <v/>
      </c>
      <c r="H65" t="inlineStr"/>
    </row>
    <row r="66">
      <c r="A66" t="inlineStr">
        <is>
          <t>R_10r_ROI</t>
        </is>
      </c>
      <c r="B66" t="n">
        <v>-0.62</v>
      </c>
      <c r="C66" t="n">
        <v>1148</v>
      </c>
      <c r="D66">
        <f> 0.536</f>
        <v/>
      </c>
      <c r="E66" t="n">
        <v>-0.04</v>
      </c>
      <c r="F66" t="inlineStr">
        <is>
          <t>[-0.16, 0.08]</t>
        </is>
      </c>
      <c r="G66">
        <f> 0.997</f>
        <v/>
      </c>
      <c r="H66" t="inlineStr"/>
    </row>
    <row r="67">
      <c r="A67" t="inlineStr">
        <is>
          <t>R_47m_ROI</t>
        </is>
      </c>
      <c r="B67" t="n">
        <v>0.22</v>
      </c>
      <c r="C67" t="n">
        <v>1148</v>
      </c>
      <c r="D67">
        <f> 0.827</f>
        <v/>
      </c>
      <c r="E67" t="n">
        <v>0.01</v>
      </c>
      <c r="F67" t="inlineStr">
        <is>
          <t>[-0.11, 0.14]</t>
        </is>
      </c>
      <c r="G67">
        <f> 0.997</f>
        <v/>
      </c>
      <c r="H67" t="inlineStr"/>
    </row>
    <row r="68">
      <c r="A68" t="inlineStr">
        <is>
          <t>R_8Av_ROI</t>
        </is>
      </c>
      <c r="B68" t="n">
        <v>-0.67</v>
      </c>
      <c r="C68" t="n">
        <v>1148</v>
      </c>
      <c r="D68">
        <f> 0.503</f>
        <v/>
      </c>
      <c r="E68" t="n">
        <v>-0.04</v>
      </c>
      <c r="F68" t="inlineStr">
        <is>
          <t>[-0.16, 0.08]</t>
        </is>
      </c>
      <c r="G68">
        <f> 0.997</f>
        <v/>
      </c>
      <c r="H68" t="inlineStr"/>
    </row>
    <row r="69">
      <c r="A69" t="inlineStr">
        <is>
          <t>R_8Ad_ROI</t>
        </is>
      </c>
      <c r="B69" t="n">
        <v>-0.63</v>
      </c>
      <c r="C69" t="n">
        <v>1148</v>
      </c>
      <c r="D69">
        <f> 0.527</f>
        <v/>
      </c>
      <c r="E69" t="n">
        <v>-0.04</v>
      </c>
      <c r="F69" t="inlineStr">
        <is>
          <t>[-0.16, 0.08]</t>
        </is>
      </c>
      <c r="G69">
        <f> 0.997</f>
        <v/>
      </c>
      <c r="H69" t="inlineStr"/>
    </row>
    <row r="70">
      <c r="A70" t="inlineStr">
        <is>
          <t>R_9m_ROI</t>
        </is>
      </c>
      <c r="B70" t="n">
        <v>0.42</v>
      </c>
      <c r="C70" t="n">
        <v>1148</v>
      </c>
      <c r="D70">
        <f> 0.671</f>
        <v/>
      </c>
      <c r="E70" t="n">
        <v>0.03</v>
      </c>
      <c r="F70" t="inlineStr">
        <is>
          <t>[-0.10, 0.15]</t>
        </is>
      </c>
      <c r="G70">
        <f> 0.997</f>
        <v/>
      </c>
      <c r="H70" t="inlineStr"/>
    </row>
    <row r="71">
      <c r="A71" t="inlineStr">
        <is>
          <t>R_8BL_ROI</t>
        </is>
      </c>
      <c r="B71" t="n">
        <v>-0.27</v>
      </c>
      <c r="C71" t="n">
        <v>1148</v>
      </c>
      <c r="D71">
        <f> 0.789</f>
        <v/>
      </c>
      <c r="E71" t="n">
        <v>-0.02</v>
      </c>
      <c r="F71" t="inlineStr">
        <is>
          <t>[-0.14, 0.10]</t>
        </is>
      </c>
      <c r="G71">
        <f> 0.997</f>
        <v/>
      </c>
      <c r="H71" t="inlineStr"/>
    </row>
    <row r="72">
      <c r="A72" t="inlineStr">
        <is>
          <t>R_9p_ROI</t>
        </is>
      </c>
      <c r="B72" t="n">
        <v>-0.87</v>
      </c>
      <c r="C72" t="n">
        <v>1148</v>
      </c>
      <c r="D72">
        <f> 0.382</f>
        <v/>
      </c>
      <c r="E72" t="n">
        <v>-0.06</v>
      </c>
      <c r="F72" t="inlineStr">
        <is>
          <t>[-0.18, 0.07]</t>
        </is>
      </c>
      <c r="G72">
        <f> 0.997</f>
        <v/>
      </c>
      <c r="H72" t="inlineStr"/>
    </row>
    <row r="73">
      <c r="A73" t="inlineStr">
        <is>
          <t>R_10d_ROI</t>
        </is>
      </c>
      <c r="B73" t="n">
        <v>0.26</v>
      </c>
      <c r="C73" t="n">
        <v>1148</v>
      </c>
      <c r="D73">
        <f> 0.796</f>
        <v/>
      </c>
      <c r="E73" t="n">
        <v>0.02</v>
      </c>
      <c r="F73" t="inlineStr">
        <is>
          <t>[-0.11, 0.14]</t>
        </is>
      </c>
      <c r="G73">
        <f> 0.997</f>
        <v/>
      </c>
      <c r="H73" t="inlineStr"/>
    </row>
    <row r="74">
      <c r="A74" t="inlineStr">
        <is>
          <t>R_8C_ROI</t>
        </is>
      </c>
      <c r="B74" t="n">
        <v>-0.88</v>
      </c>
      <c r="C74" t="n">
        <v>1148</v>
      </c>
      <c r="D74">
        <f> 0.379</f>
        <v/>
      </c>
      <c r="E74" t="n">
        <v>-0.06</v>
      </c>
      <c r="F74" t="inlineStr">
        <is>
          <t>[-0.18, 0.07]</t>
        </is>
      </c>
      <c r="G74">
        <f> 0.997</f>
        <v/>
      </c>
      <c r="H74" t="inlineStr"/>
    </row>
    <row r="75">
      <c r="A75" t="inlineStr">
        <is>
          <t>R_44_ROI</t>
        </is>
      </c>
      <c r="B75" t="n">
        <v>-0.33</v>
      </c>
      <c r="C75" t="n">
        <v>1148</v>
      </c>
      <c r="D75">
        <f> 0.743</f>
        <v/>
      </c>
      <c r="E75" t="n">
        <v>-0.02</v>
      </c>
      <c r="F75" t="inlineStr">
        <is>
          <t>[-0.14, 0.10]</t>
        </is>
      </c>
      <c r="G75">
        <f> 0.997</f>
        <v/>
      </c>
      <c r="H75" t="inlineStr"/>
    </row>
    <row r="76">
      <c r="A76" t="inlineStr">
        <is>
          <t>R_45_ROI</t>
        </is>
      </c>
      <c r="B76" t="n">
        <v>0.12</v>
      </c>
      <c r="C76" t="n">
        <v>1148</v>
      </c>
      <c r="D76">
        <f> 0.908</f>
        <v/>
      </c>
      <c r="E76" t="n">
        <v>0.01</v>
      </c>
      <c r="F76" t="inlineStr">
        <is>
          <t>[-0.11, 0.13]</t>
        </is>
      </c>
      <c r="G76">
        <f> 0.997</f>
        <v/>
      </c>
      <c r="H76" t="inlineStr"/>
    </row>
    <row r="77">
      <c r="A77" t="inlineStr">
        <is>
          <t>R_47l_ROI</t>
        </is>
      </c>
      <c r="B77" t="n">
        <v>-0.84</v>
      </c>
      <c r="C77" t="n">
        <v>1148</v>
      </c>
      <c r="D77">
        <f> 0.400</f>
        <v/>
      </c>
      <c r="E77" t="n">
        <v>-0.05</v>
      </c>
      <c r="F77" t="inlineStr">
        <is>
          <t>[-0.17, 0.07]</t>
        </is>
      </c>
      <c r="G77">
        <f> 0.997</f>
        <v/>
      </c>
      <c r="H77" t="inlineStr"/>
    </row>
    <row r="78">
      <c r="A78" t="inlineStr">
        <is>
          <t>R_a47r_ROI</t>
        </is>
      </c>
      <c r="B78" t="n">
        <v>-0.19</v>
      </c>
      <c r="C78" t="n">
        <v>1148</v>
      </c>
      <c r="D78">
        <f> 0.852</f>
        <v/>
      </c>
      <c r="E78" t="n">
        <v>-0.01</v>
      </c>
      <c r="F78" t="inlineStr">
        <is>
          <t>[-0.13, 0.11]</t>
        </is>
      </c>
      <c r="G78">
        <f> 0.997</f>
        <v/>
      </c>
      <c r="H78" t="inlineStr"/>
    </row>
    <row r="79">
      <c r="A79" t="inlineStr">
        <is>
          <t>R_6r_ROI</t>
        </is>
      </c>
      <c r="B79" t="n">
        <v>0.19</v>
      </c>
      <c r="C79" t="n">
        <v>1148</v>
      </c>
      <c r="D79">
        <f> 0.849</f>
        <v/>
      </c>
      <c r="E79" t="n">
        <v>0.01</v>
      </c>
      <c r="F79" t="inlineStr">
        <is>
          <t>[-0.11, 0.13]</t>
        </is>
      </c>
      <c r="G79">
        <f> 0.997</f>
        <v/>
      </c>
      <c r="H79" t="inlineStr"/>
    </row>
    <row r="80">
      <c r="A80" t="inlineStr">
        <is>
          <t>R_IFJa_ROI</t>
        </is>
      </c>
      <c r="B80" t="n">
        <v>-0.23</v>
      </c>
      <c r="C80" t="n">
        <v>1148</v>
      </c>
      <c r="D80">
        <f> 0.820</f>
        <v/>
      </c>
      <c r="E80" t="n">
        <v>-0.01</v>
      </c>
      <c r="F80" t="inlineStr">
        <is>
          <t>[-0.14, 0.11]</t>
        </is>
      </c>
      <c r="G80">
        <f> 0.997</f>
        <v/>
      </c>
      <c r="H80" t="inlineStr"/>
    </row>
    <row r="81">
      <c r="A81" t="inlineStr">
        <is>
          <t>R_IFJp_ROI</t>
        </is>
      </c>
      <c r="B81" t="n">
        <v>-0.96</v>
      </c>
      <c r="C81" t="n">
        <v>1148</v>
      </c>
      <c r="D81">
        <f> 0.340</f>
        <v/>
      </c>
      <c r="E81" t="n">
        <v>-0.06</v>
      </c>
      <c r="F81" t="inlineStr">
        <is>
          <t>[-0.18, 0.06]</t>
        </is>
      </c>
      <c r="G81">
        <f> 0.997</f>
        <v/>
      </c>
      <c r="H81" t="inlineStr"/>
    </row>
    <row r="82">
      <c r="A82" t="inlineStr">
        <is>
          <t>R_IFSp_ROI</t>
        </is>
      </c>
      <c r="B82" t="n">
        <v>-0.34</v>
      </c>
      <c r="C82" t="n">
        <v>1148</v>
      </c>
      <c r="D82">
        <f> 0.734</f>
        <v/>
      </c>
      <c r="E82" t="n">
        <v>-0.02</v>
      </c>
      <c r="F82" t="inlineStr">
        <is>
          <t>[-0.14, 0.10]</t>
        </is>
      </c>
      <c r="G82">
        <f> 0.997</f>
        <v/>
      </c>
      <c r="H82" t="inlineStr"/>
    </row>
    <row r="83">
      <c r="A83" t="inlineStr">
        <is>
          <t>R_IFSa_ROI</t>
        </is>
      </c>
      <c r="B83" t="n">
        <v>-0.04</v>
      </c>
      <c r="C83" t="n">
        <v>1148</v>
      </c>
      <c r="D83">
        <f> 0.968</f>
        <v/>
      </c>
      <c r="E83" t="n">
        <v>-0</v>
      </c>
      <c r="F83" t="inlineStr">
        <is>
          <t>[-0.12, 0.12]</t>
        </is>
      </c>
      <c r="G83">
        <f> 0.997</f>
        <v/>
      </c>
      <c r="H83" t="inlineStr"/>
    </row>
    <row r="84">
      <c r="A84" t="inlineStr">
        <is>
          <t>R_p9_46v_ROI</t>
        </is>
      </c>
      <c r="B84" t="n">
        <v>-1.68</v>
      </c>
      <c r="C84" t="n">
        <v>1148</v>
      </c>
      <c r="D84">
        <f> 0.094</f>
        <v/>
      </c>
      <c r="E84" t="n">
        <v>-0.11</v>
      </c>
      <c r="F84" t="inlineStr">
        <is>
          <t>[-0.23, 0.02]</t>
        </is>
      </c>
      <c r="G84">
        <f> 0.997</f>
        <v/>
      </c>
      <c r="H84" t="inlineStr"/>
    </row>
    <row r="85">
      <c r="A85" t="inlineStr">
        <is>
          <t>R_46_ROI</t>
        </is>
      </c>
      <c r="B85" t="n">
        <v>-0.2</v>
      </c>
      <c r="C85" t="n">
        <v>1148</v>
      </c>
      <c r="D85">
        <f> 0.845</f>
        <v/>
      </c>
      <c r="E85" t="n">
        <v>-0.01</v>
      </c>
      <c r="F85" t="inlineStr">
        <is>
          <t>[-0.13, 0.11]</t>
        </is>
      </c>
      <c r="G85">
        <f> 0.997</f>
        <v/>
      </c>
      <c r="H85" t="inlineStr"/>
    </row>
    <row r="86">
      <c r="A86" t="inlineStr">
        <is>
          <t>R_a9_46v_ROI</t>
        </is>
      </c>
      <c r="B86" t="n">
        <v>-0.4</v>
      </c>
      <c r="C86" t="n">
        <v>1148</v>
      </c>
      <c r="D86">
        <f> 0.688</f>
        <v/>
      </c>
      <c r="E86" t="n">
        <v>-0.03</v>
      </c>
      <c r="F86" t="inlineStr">
        <is>
          <t>[-0.15, 0.10]</t>
        </is>
      </c>
      <c r="G86">
        <f> 0.997</f>
        <v/>
      </c>
      <c r="H86" t="inlineStr"/>
    </row>
    <row r="87">
      <c r="A87" t="inlineStr">
        <is>
          <t>R_9_46d_ROI</t>
        </is>
      </c>
      <c r="B87" t="n">
        <v>0.04</v>
      </c>
      <c r="C87" t="n">
        <v>1148</v>
      </c>
      <c r="D87">
        <f> 0.971</f>
        <v/>
      </c>
      <c r="E87" t="n">
        <v>0</v>
      </c>
      <c r="F87" t="inlineStr">
        <is>
          <t>[-0.12, 0.12]</t>
        </is>
      </c>
      <c r="G87">
        <f> 0.997</f>
        <v/>
      </c>
      <c r="H87" t="inlineStr"/>
    </row>
    <row r="88">
      <c r="A88" t="inlineStr">
        <is>
          <t>R_9a_ROI</t>
        </is>
      </c>
      <c r="B88" t="n">
        <v>-0.15</v>
      </c>
      <c r="C88" t="n">
        <v>1148</v>
      </c>
      <c r="D88">
        <f> 0.883</f>
        <v/>
      </c>
      <c r="E88" t="n">
        <v>-0.01</v>
      </c>
      <c r="F88" t="inlineStr">
        <is>
          <t>[-0.13, 0.11]</t>
        </is>
      </c>
      <c r="G88">
        <f> 0.997</f>
        <v/>
      </c>
      <c r="H88" t="inlineStr"/>
    </row>
    <row r="89">
      <c r="A89" t="inlineStr">
        <is>
          <t>R_10v_ROI</t>
        </is>
      </c>
      <c r="B89" t="n">
        <v>0.39</v>
      </c>
      <c r="C89" t="n">
        <v>1148</v>
      </c>
      <c r="D89">
        <f> 0.698</f>
        <v/>
      </c>
      <c r="E89" t="n">
        <v>0.02</v>
      </c>
      <c r="F89" t="inlineStr">
        <is>
          <t>[-0.10, 0.15]</t>
        </is>
      </c>
      <c r="G89">
        <f> 0.997</f>
        <v/>
      </c>
      <c r="H89" t="inlineStr"/>
    </row>
    <row r="90">
      <c r="A90" t="inlineStr">
        <is>
          <t>R_a10p_ROI</t>
        </is>
      </c>
      <c r="B90" t="n">
        <v>0.05</v>
      </c>
      <c r="C90" t="n">
        <v>1148</v>
      </c>
      <c r="D90">
        <f> 0.961</f>
        <v/>
      </c>
      <c r="E90" t="n">
        <v>0</v>
      </c>
      <c r="F90" t="inlineStr">
        <is>
          <t>[-0.12, 0.12]</t>
        </is>
      </c>
      <c r="G90">
        <f> 0.997</f>
        <v/>
      </c>
      <c r="H90" t="inlineStr"/>
    </row>
    <row r="91">
      <c r="A91" t="inlineStr">
        <is>
          <t>R_10pp_ROI</t>
        </is>
      </c>
      <c r="B91" t="n">
        <v>-0.28</v>
      </c>
      <c r="C91" t="n">
        <v>1148</v>
      </c>
      <c r="D91">
        <f> 0.782</f>
        <v/>
      </c>
      <c r="E91" t="n">
        <v>-0.02</v>
      </c>
      <c r="F91" t="inlineStr">
        <is>
          <t>[-0.14, 0.10]</t>
        </is>
      </c>
      <c r="G91">
        <f> 0.997</f>
        <v/>
      </c>
      <c r="H91" t="inlineStr"/>
    </row>
    <row r="92">
      <c r="A92" t="inlineStr">
        <is>
          <t>R_11l_ROI</t>
        </is>
      </c>
      <c r="B92" t="n">
        <v>0.14</v>
      </c>
      <c r="C92" t="n">
        <v>1148</v>
      </c>
      <c r="D92">
        <f> 0.891</f>
        <v/>
      </c>
      <c r="E92" t="n">
        <v>0.01</v>
      </c>
      <c r="F92" t="inlineStr">
        <is>
          <t>[-0.11, 0.13]</t>
        </is>
      </c>
      <c r="G92">
        <f> 0.997</f>
        <v/>
      </c>
      <c r="H92" t="inlineStr"/>
    </row>
    <row r="93">
      <c r="A93" t="inlineStr">
        <is>
          <t>R_13l_ROI</t>
        </is>
      </c>
      <c r="B93" t="n">
        <v>1.13</v>
      </c>
      <c r="C93" t="n">
        <v>1148</v>
      </c>
      <c r="D93">
        <f> 0.260</f>
        <v/>
      </c>
      <c r="E93" t="n">
        <v>0.07000000000000001</v>
      </c>
      <c r="F93" t="inlineStr">
        <is>
          <t>[-0.05, 0.19]</t>
        </is>
      </c>
      <c r="G93">
        <f> 0.997</f>
        <v/>
      </c>
      <c r="H93" t="inlineStr"/>
    </row>
    <row r="94">
      <c r="A94" t="inlineStr">
        <is>
          <t>R_OFC_ROI</t>
        </is>
      </c>
      <c r="B94" t="n">
        <v>-0.91</v>
      </c>
      <c r="C94" t="n">
        <v>1148</v>
      </c>
      <c r="D94">
        <f> 0.363</f>
        <v/>
      </c>
      <c r="E94" t="n">
        <v>-0.06</v>
      </c>
      <c r="F94" t="inlineStr">
        <is>
          <t>[-0.18, 0.07]</t>
        </is>
      </c>
      <c r="G94">
        <f> 0.997</f>
        <v/>
      </c>
      <c r="H94" t="inlineStr"/>
    </row>
    <row r="95">
      <c r="A95" t="inlineStr">
        <is>
          <t>R_47s_ROI</t>
        </is>
      </c>
      <c r="B95" t="n">
        <v>0.58</v>
      </c>
      <c r="C95" t="n">
        <v>1148</v>
      </c>
      <c r="D95">
        <f> 0.559</f>
        <v/>
      </c>
      <c r="E95" t="n">
        <v>0.04</v>
      </c>
      <c r="F95" t="inlineStr">
        <is>
          <t>[-0.09, 0.16]</t>
        </is>
      </c>
      <c r="G95">
        <f> 0.997</f>
        <v/>
      </c>
      <c r="H95" t="inlineStr"/>
    </row>
    <row r="96">
      <c r="A96" t="inlineStr">
        <is>
          <t>R_LIPd_ROI</t>
        </is>
      </c>
      <c r="B96" t="n">
        <v>-1</v>
      </c>
      <c r="C96" t="n">
        <v>1148</v>
      </c>
      <c r="D96">
        <f> 0.318</f>
        <v/>
      </c>
      <c r="E96" t="n">
        <v>-0.06</v>
      </c>
      <c r="F96" t="inlineStr">
        <is>
          <t>[-0.18, 0.06]</t>
        </is>
      </c>
      <c r="G96">
        <f> 0.997</f>
        <v/>
      </c>
      <c r="H96" t="inlineStr"/>
    </row>
    <row r="97">
      <c r="A97" t="inlineStr">
        <is>
          <t>R_6a_ROI</t>
        </is>
      </c>
      <c r="B97" t="n">
        <v>-0.6</v>
      </c>
      <c r="C97" t="n">
        <v>1148</v>
      </c>
      <c r="D97">
        <f> 0.550</f>
        <v/>
      </c>
      <c r="E97" t="n">
        <v>-0.04</v>
      </c>
      <c r="F97" t="inlineStr">
        <is>
          <t>[-0.16, 0.08]</t>
        </is>
      </c>
      <c r="G97">
        <f> 0.997</f>
        <v/>
      </c>
      <c r="H97" t="inlineStr"/>
    </row>
    <row r="98">
      <c r="A98" t="inlineStr">
        <is>
          <t>R_i6_8_ROI</t>
        </is>
      </c>
      <c r="B98" t="n">
        <v>0.2</v>
      </c>
      <c r="C98" t="n">
        <v>1148</v>
      </c>
      <c r="D98">
        <f> 0.844</f>
        <v/>
      </c>
      <c r="E98" t="n">
        <v>0.01</v>
      </c>
      <c r="F98" t="inlineStr">
        <is>
          <t>[-0.11, 0.13]</t>
        </is>
      </c>
      <c r="G98">
        <f> 0.997</f>
        <v/>
      </c>
      <c r="H98" t="inlineStr"/>
    </row>
    <row r="99">
      <c r="A99" t="inlineStr">
        <is>
          <t>R_s6_8_ROI</t>
        </is>
      </c>
      <c r="B99" t="n">
        <v>-0.03</v>
      </c>
      <c r="C99" t="n">
        <v>1148</v>
      </c>
      <c r="D99">
        <f> 0.976</f>
        <v/>
      </c>
      <c r="E99" t="n">
        <v>-0</v>
      </c>
      <c r="F99" t="inlineStr">
        <is>
          <t>[-0.12, 0.12]</t>
        </is>
      </c>
      <c r="G99">
        <f> 0.997</f>
        <v/>
      </c>
      <c r="H99" t="inlineStr"/>
    </row>
    <row r="100">
      <c r="A100" t="inlineStr">
        <is>
          <t>R_43_ROI</t>
        </is>
      </c>
      <c r="B100" t="n">
        <v>0.3</v>
      </c>
      <c r="C100" t="n">
        <v>1148</v>
      </c>
      <c r="D100">
        <f> 0.767</f>
        <v/>
      </c>
      <c r="E100" t="n">
        <v>0.02</v>
      </c>
      <c r="F100" t="inlineStr">
        <is>
          <t>[-0.10, 0.14]</t>
        </is>
      </c>
      <c r="G100">
        <f> 0.997</f>
        <v/>
      </c>
      <c r="H100" t="inlineStr"/>
    </row>
    <row r="101">
      <c r="A101" t="inlineStr">
        <is>
          <t>R_OP4_ROI</t>
        </is>
      </c>
      <c r="B101" t="n">
        <v>0.6</v>
      </c>
      <c r="C101" t="n">
        <v>1148</v>
      </c>
      <c r="D101">
        <f> 0.546</f>
        <v/>
      </c>
      <c r="E101" t="n">
        <v>0.04</v>
      </c>
      <c r="F101" t="inlineStr">
        <is>
          <t>[-0.08, 0.16]</t>
        </is>
      </c>
      <c r="G101">
        <f> 0.997</f>
        <v/>
      </c>
      <c r="H101" t="inlineStr"/>
    </row>
    <row r="102">
      <c r="A102" t="inlineStr">
        <is>
          <t>R_OP1_ROI</t>
        </is>
      </c>
      <c r="B102" t="n">
        <v>0.9</v>
      </c>
      <c r="C102" t="n">
        <v>1148</v>
      </c>
      <c r="D102">
        <f> 0.368</f>
        <v/>
      </c>
      <c r="E102" t="n">
        <v>0.06</v>
      </c>
      <c r="F102" t="inlineStr">
        <is>
          <t>[-0.07, 0.18]</t>
        </is>
      </c>
      <c r="G102">
        <f> 0.997</f>
        <v/>
      </c>
      <c r="H102" t="inlineStr"/>
    </row>
    <row r="103">
      <c r="A103" t="inlineStr">
        <is>
          <t>R_OP2_3_ROI</t>
        </is>
      </c>
      <c r="B103" t="n">
        <v>2.2</v>
      </c>
      <c r="C103" t="n">
        <v>1148</v>
      </c>
      <c r="D103">
        <f> 0.028</f>
        <v/>
      </c>
      <c r="E103" t="n">
        <v>0.13</v>
      </c>
      <c r="F103" t="inlineStr">
        <is>
          <t>[0.01, 0.25]</t>
        </is>
      </c>
      <c r="G103">
        <f> 0.997</f>
        <v/>
      </c>
      <c r="H103" t="inlineStr"/>
    </row>
    <row r="104">
      <c r="A104" t="inlineStr">
        <is>
          <t>R_52_ROI</t>
        </is>
      </c>
      <c r="B104" t="n">
        <v>-0.38</v>
      </c>
      <c r="C104" t="n">
        <v>1148</v>
      </c>
      <c r="D104">
        <f> 0.701</f>
        <v/>
      </c>
      <c r="E104" t="n">
        <v>-0.02</v>
      </c>
      <c r="F104" t="inlineStr">
        <is>
          <t>[-0.15, 0.10]</t>
        </is>
      </c>
      <c r="G104">
        <f> 0.997</f>
        <v/>
      </c>
      <c r="H104" t="inlineStr"/>
    </row>
    <row r="105">
      <c r="A105" t="inlineStr">
        <is>
          <t>R_RI_ROI</t>
        </is>
      </c>
      <c r="B105" t="n">
        <v>0.27</v>
      </c>
      <c r="C105" t="n">
        <v>1148</v>
      </c>
      <c r="D105">
        <f> 0.786</f>
        <v/>
      </c>
      <c r="E105" t="n">
        <v>0.02</v>
      </c>
      <c r="F105" t="inlineStr">
        <is>
          <t>[-0.10, 0.14]</t>
        </is>
      </c>
      <c r="G105">
        <f> 0.997</f>
        <v/>
      </c>
      <c r="H105" t="inlineStr"/>
    </row>
    <row r="106">
      <c r="A106" t="inlineStr">
        <is>
          <t>R_PFcm_ROI</t>
        </is>
      </c>
      <c r="B106" t="n">
        <v>0.62</v>
      </c>
      <c r="C106" t="n">
        <v>1148</v>
      </c>
      <c r="D106">
        <f> 0.533</f>
        <v/>
      </c>
      <c r="E106" t="n">
        <v>0.04</v>
      </c>
      <c r="F106" t="inlineStr">
        <is>
          <t>[-0.08, 0.16]</t>
        </is>
      </c>
      <c r="G106">
        <f> 0.997</f>
        <v/>
      </c>
      <c r="H106" t="inlineStr"/>
    </row>
    <row r="107">
      <c r="A107" t="inlineStr">
        <is>
          <t>R_PoI2_ROI</t>
        </is>
      </c>
      <c r="B107" t="n">
        <v>-0.54</v>
      </c>
      <c r="C107" t="n">
        <v>1148</v>
      </c>
      <c r="D107">
        <f> 0.592</f>
        <v/>
      </c>
      <c r="E107" t="n">
        <v>-0.03</v>
      </c>
      <c r="F107" t="inlineStr">
        <is>
          <t>[-0.15, 0.09]</t>
        </is>
      </c>
      <c r="G107">
        <f> 0.997</f>
        <v/>
      </c>
      <c r="H107" t="inlineStr"/>
    </row>
    <row r="108">
      <c r="A108" t="inlineStr">
        <is>
          <t>R_TA2_ROI</t>
        </is>
      </c>
      <c r="B108" t="n">
        <v>-0.01</v>
      </c>
      <c r="C108" t="n">
        <v>1148</v>
      </c>
      <c r="D108">
        <f> 0.993</f>
        <v/>
      </c>
      <c r="E108" t="n">
        <v>-0</v>
      </c>
      <c r="F108" t="inlineStr">
        <is>
          <t>[-0.12, 0.12]</t>
        </is>
      </c>
      <c r="G108">
        <f> 0.997</f>
        <v/>
      </c>
      <c r="H108" t="inlineStr"/>
    </row>
    <row r="109">
      <c r="A109" t="inlineStr">
        <is>
          <t>R_FOP4_ROI</t>
        </is>
      </c>
      <c r="B109" t="n">
        <v>1.36</v>
      </c>
      <c r="C109" t="n">
        <v>1148</v>
      </c>
      <c r="D109">
        <f> 0.175</f>
        <v/>
      </c>
      <c r="E109" t="n">
        <v>0.09</v>
      </c>
      <c r="F109" t="inlineStr">
        <is>
          <t>[-0.04, 0.21]</t>
        </is>
      </c>
      <c r="G109">
        <f> 0.997</f>
        <v/>
      </c>
      <c r="H109" t="inlineStr"/>
    </row>
    <row r="110">
      <c r="A110" t="inlineStr">
        <is>
          <t>R_MI_ROI</t>
        </is>
      </c>
      <c r="B110" t="n">
        <v>-0.05</v>
      </c>
      <c r="C110" t="n">
        <v>1148</v>
      </c>
      <c r="D110">
        <f> 0.961</f>
        <v/>
      </c>
      <c r="E110" t="n">
        <v>-0</v>
      </c>
      <c r="F110" t="inlineStr">
        <is>
          <t>[-0.12, 0.12]</t>
        </is>
      </c>
      <c r="G110">
        <f> 0.997</f>
        <v/>
      </c>
      <c r="H110" t="inlineStr"/>
    </row>
    <row r="111">
      <c r="A111" t="inlineStr">
        <is>
          <t>R_Pir_ROI</t>
        </is>
      </c>
      <c r="B111" t="n">
        <v>-0.6899999999999999</v>
      </c>
      <c r="C111" t="n">
        <v>1148</v>
      </c>
      <c r="D111">
        <f> 0.488</f>
        <v/>
      </c>
      <c r="E111" t="n">
        <v>-0.04</v>
      </c>
      <c r="F111" t="inlineStr">
        <is>
          <t>[-0.16, 0.08]</t>
        </is>
      </c>
      <c r="G111">
        <f> 0.997</f>
        <v/>
      </c>
      <c r="H111" t="inlineStr"/>
    </row>
    <row r="112">
      <c r="A112" t="inlineStr">
        <is>
          <t>R_AVI_ROI</t>
        </is>
      </c>
      <c r="B112" t="n">
        <v>1.22</v>
      </c>
      <c r="C112" t="n">
        <v>1148</v>
      </c>
      <c r="D112">
        <f> 0.224</f>
        <v/>
      </c>
      <c r="E112" t="n">
        <v>0.07000000000000001</v>
      </c>
      <c r="F112" t="inlineStr">
        <is>
          <t>[-0.05, 0.20]</t>
        </is>
      </c>
      <c r="G112">
        <f> 0.997</f>
        <v/>
      </c>
      <c r="H112" t="inlineStr"/>
    </row>
    <row r="113">
      <c r="A113" t="inlineStr">
        <is>
          <t>R_AAIC_ROI</t>
        </is>
      </c>
      <c r="B113" t="n">
        <v>0.46</v>
      </c>
      <c r="C113" t="n">
        <v>1148</v>
      </c>
      <c r="D113">
        <f> 0.645</f>
        <v/>
      </c>
      <c r="E113" t="n">
        <v>0.03</v>
      </c>
      <c r="F113" t="inlineStr">
        <is>
          <t>[-0.09, 0.15]</t>
        </is>
      </c>
      <c r="G113">
        <f> 0.997</f>
        <v/>
      </c>
      <c r="H113" t="inlineStr"/>
    </row>
    <row r="114">
      <c r="A114" t="inlineStr">
        <is>
          <t>R_FOP1_ROI</t>
        </is>
      </c>
      <c r="B114" t="n">
        <v>0.5</v>
      </c>
      <c r="C114" t="n">
        <v>1148</v>
      </c>
      <c r="D114">
        <f> 0.620</f>
        <v/>
      </c>
      <c r="E114" t="n">
        <v>0.03</v>
      </c>
      <c r="F114" t="inlineStr">
        <is>
          <t>[-0.09, 0.15]</t>
        </is>
      </c>
      <c r="G114">
        <f> 0.997</f>
        <v/>
      </c>
      <c r="H114" t="inlineStr"/>
    </row>
    <row r="115">
      <c r="A115" t="inlineStr">
        <is>
          <t>R_FOP3_ROI</t>
        </is>
      </c>
      <c r="B115" t="n">
        <v>-0.06</v>
      </c>
      <c r="C115" t="n">
        <v>1148</v>
      </c>
      <c r="D115">
        <f> 0.950</f>
        <v/>
      </c>
      <c r="E115" t="n">
        <v>-0</v>
      </c>
      <c r="F115" t="inlineStr">
        <is>
          <t>[-0.13, 0.12]</t>
        </is>
      </c>
      <c r="G115">
        <f> 0.997</f>
        <v/>
      </c>
      <c r="H115" t="inlineStr"/>
    </row>
    <row r="116">
      <c r="A116" t="inlineStr">
        <is>
          <t>R_FOP2_ROI</t>
        </is>
      </c>
      <c r="B116" t="n">
        <v>0.5600000000000001</v>
      </c>
      <c r="C116" t="n">
        <v>1148</v>
      </c>
      <c r="D116">
        <f> 0.573</f>
        <v/>
      </c>
      <c r="E116" t="n">
        <v>0.03</v>
      </c>
      <c r="F116" t="inlineStr">
        <is>
          <t>[-0.09, 0.16]</t>
        </is>
      </c>
      <c r="G116">
        <f> 0.997</f>
        <v/>
      </c>
      <c r="H116" t="inlineStr"/>
    </row>
    <row r="117">
      <c r="A117" t="inlineStr">
        <is>
          <t>R_PFt_ROI</t>
        </is>
      </c>
      <c r="B117" t="n">
        <v>0.24</v>
      </c>
      <c r="C117" t="n">
        <v>1148</v>
      </c>
      <c r="D117">
        <f> 0.808</f>
        <v/>
      </c>
      <c r="E117" t="n">
        <v>0.02</v>
      </c>
      <c r="F117" t="inlineStr">
        <is>
          <t>[-0.11, 0.14]</t>
        </is>
      </c>
      <c r="G117">
        <f> 0.997</f>
        <v/>
      </c>
      <c r="H117" t="inlineStr"/>
    </row>
    <row r="118">
      <c r="A118" t="inlineStr">
        <is>
          <t>R_AIP_ROI</t>
        </is>
      </c>
      <c r="B118" t="n">
        <v>-0.67</v>
      </c>
      <c r="C118" t="n">
        <v>1148</v>
      </c>
      <c r="D118">
        <f> 0.505</f>
        <v/>
      </c>
      <c r="E118" t="n">
        <v>-0.04</v>
      </c>
      <c r="F118" t="inlineStr">
        <is>
          <t>[-0.16, 0.08]</t>
        </is>
      </c>
      <c r="G118">
        <f> 0.997</f>
        <v/>
      </c>
      <c r="H118" t="inlineStr"/>
    </row>
    <row r="119">
      <c r="A119" t="inlineStr">
        <is>
          <t>R_EC_ROI</t>
        </is>
      </c>
      <c r="B119" t="n">
        <v>0.26</v>
      </c>
      <c r="C119" t="n">
        <v>1148</v>
      </c>
      <c r="D119">
        <f> 0.798</f>
        <v/>
      </c>
      <c r="E119" t="n">
        <v>0.02</v>
      </c>
      <c r="F119" t="inlineStr">
        <is>
          <t>[-0.11, 0.14]</t>
        </is>
      </c>
      <c r="G119">
        <f> 0.997</f>
        <v/>
      </c>
      <c r="H119" t="inlineStr"/>
    </row>
    <row r="120">
      <c r="A120" t="inlineStr">
        <is>
          <t>R_PreS_ROI</t>
        </is>
      </c>
      <c r="B120" t="n">
        <v>-0.75</v>
      </c>
      <c r="C120" t="n">
        <v>1148</v>
      </c>
      <c r="D120">
        <f> 0.453</f>
        <v/>
      </c>
      <c r="E120" t="n">
        <v>-0.05</v>
      </c>
      <c r="F120" t="inlineStr">
        <is>
          <t>[-0.17, 0.07]</t>
        </is>
      </c>
      <c r="G120">
        <f> 0.997</f>
        <v/>
      </c>
      <c r="H120" t="inlineStr"/>
    </row>
    <row r="121">
      <c r="A121" t="inlineStr">
        <is>
          <t>R_H_ROI</t>
        </is>
      </c>
      <c r="B121" t="n">
        <v>0.42</v>
      </c>
      <c r="C121" t="n">
        <v>1148</v>
      </c>
      <c r="D121">
        <f> 0.678</f>
        <v/>
      </c>
      <c r="E121" t="n">
        <v>0.03</v>
      </c>
      <c r="F121" t="inlineStr">
        <is>
          <t>[-0.10, 0.15]</t>
        </is>
      </c>
      <c r="G121">
        <f> 0.997</f>
        <v/>
      </c>
      <c r="H121" t="inlineStr"/>
    </row>
    <row r="122">
      <c r="A122" t="inlineStr">
        <is>
          <t>R_ProS_ROI</t>
        </is>
      </c>
      <c r="B122" t="n">
        <v>0.5600000000000001</v>
      </c>
      <c r="C122" t="n">
        <v>1148</v>
      </c>
      <c r="D122">
        <f> 0.575</f>
        <v/>
      </c>
      <c r="E122" t="n">
        <v>0.03</v>
      </c>
      <c r="F122" t="inlineStr">
        <is>
          <t>[-0.09, 0.16]</t>
        </is>
      </c>
      <c r="G122">
        <f> 0.997</f>
        <v/>
      </c>
      <c r="H122" t="inlineStr"/>
    </row>
    <row r="123">
      <c r="A123" t="inlineStr">
        <is>
          <t>R_PeEc_ROI</t>
        </is>
      </c>
      <c r="B123" t="n">
        <v>-0.06</v>
      </c>
      <c r="C123" t="n">
        <v>1148</v>
      </c>
      <c r="D123">
        <f> 0.956</f>
        <v/>
      </c>
      <c r="E123" t="n">
        <v>-0</v>
      </c>
      <c r="F123" t="inlineStr">
        <is>
          <t>[-0.13, 0.12]</t>
        </is>
      </c>
      <c r="G123">
        <f> 0.997</f>
        <v/>
      </c>
      <c r="H123" t="inlineStr"/>
    </row>
    <row r="124">
      <c r="A124" t="inlineStr">
        <is>
          <t>R_STGa_ROI</t>
        </is>
      </c>
      <c r="B124" t="n">
        <v>0.77</v>
      </c>
      <c r="C124" t="n">
        <v>1148</v>
      </c>
      <c r="D124">
        <f> 0.443</f>
        <v/>
      </c>
      <c r="E124" t="n">
        <v>0.05</v>
      </c>
      <c r="F124" t="inlineStr">
        <is>
          <t>[-0.07, 0.17]</t>
        </is>
      </c>
      <c r="G124">
        <f> 0.997</f>
        <v/>
      </c>
      <c r="H124" t="inlineStr"/>
    </row>
    <row r="125">
      <c r="A125" t="inlineStr">
        <is>
          <t>R_PBelt_ROI</t>
        </is>
      </c>
      <c r="B125" t="n">
        <v>0.01</v>
      </c>
      <c r="C125" t="n">
        <v>1148</v>
      </c>
      <c r="D125">
        <f> 0.995</f>
        <v/>
      </c>
      <c r="E125" t="n">
        <v>0</v>
      </c>
      <c r="F125" t="inlineStr">
        <is>
          <t>[-0.12, 0.12]</t>
        </is>
      </c>
      <c r="G125">
        <f> 0.997</f>
        <v/>
      </c>
      <c r="H125" t="inlineStr"/>
    </row>
    <row r="126">
      <c r="A126" t="inlineStr">
        <is>
          <t>R_A5_ROI</t>
        </is>
      </c>
      <c r="B126" t="n">
        <v>-0.14</v>
      </c>
      <c r="C126" t="n">
        <v>1148</v>
      </c>
      <c r="D126">
        <f> 0.889</f>
        <v/>
      </c>
      <c r="E126" t="n">
        <v>-0.01</v>
      </c>
      <c r="F126" t="inlineStr">
        <is>
          <t>[-0.13, 0.11]</t>
        </is>
      </c>
      <c r="G126">
        <f> 0.997</f>
        <v/>
      </c>
      <c r="H126" t="inlineStr"/>
    </row>
    <row r="127">
      <c r="A127" t="inlineStr">
        <is>
          <t>R_PHA1_ROI</t>
        </is>
      </c>
      <c r="B127" t="n">
        <v>0.26</v>
      </c>
      <c r="C127" t="n">
        <v>1148</v>
      </c>
      <c r="D127">
        <f> 0.791</f>
        <v/>
      </c>
      <c r="E127" t="n">
        <v>0.02</v>
      </c>
      <c r="F127" t="inlineStr">
        <is>
          <t>[-0.11, 0.14]</t>
        </is>
      </c>
      <c r="G127">
        <f> 0.997</f>
        <v/>
      </c>
      <c r="H127" t="inlineStr"/>
    </row>
    <row r="128">
      <c r="A128" t="inlineStr">
        <is>
          <t>R_PHA3_ROI</t>
        </is>
      </c>
      <c r="B128" t="n">
        <v>-0.27</v>
      </c>
      <c r="C128" t="n">
        <v>1148</v>
      </c>
      <c r="D128">
        <f> 0.785</f>
        <v/>
      </c>
      <c r="E128" t="n">
        <v>-0.02</v>
      </c>
      <c r="F128" t="inlineStr">
        <is>
          <t>[-0.14, 0.10]</t>
        </is>
      </c>
      <c r="G128">
        <f> 0.997</f>
        <v/>
      </c>
      <c r="H128" t="inlineStr"/>
    </row>
    <row r="129">
      <c r="A129" t="inlineStr">
        <is>
          <t>R_STSda_ROI</t>
        </is>
      </c>
      <c r="B129" t="n">
        <v>0.79</v>
      </c>
      <c r="C129" t="n">
        <v>1148</v>
      </c>
      <c r="D129">
        <f> 0.430</f>
        <v/>
      </c>
      <c r="E129" t="n">
        <v>0.05</v>
      </c>
      <c r="F129" t="inlineStr">
        <is>
          <t>[-0.07, 0.17]</t>
        </is>
      </c>
      <c r="G129">
        <f> 0.997</f>
        <v/>
      </c>
      <c r="H129" t="inlineStr"/>
    </row>
    <row r="130">
      <c r="A130" t="inlineStr">
        <is>
          <t>R_STSdp_ROI</t>
        </is>
      </c>
      <c r="B130" t="n">
        <v>0.51</v>
      </c>
      <c r="C130" t="n">
        <v>1148</v>
      </c>
      <c r="D130">
        <f> 0.611</f>
        <v/>
      </c>
      <c r="E130" t="n">
        <v>0.03</v>
      </c>
      <c r="F130" t="inlineStr">
        <is>
          <t>[-0.09, 0.15]</t>
        </is>
      </c>
      <c r="G130">
        <f> 0.997</f>
        <v/>
      </c>
      <c r="H130" t="inlineStr"/>
    </row>
    <row r="131">
      <c r="A131" t="inlineStr">
        <is>
          <t>R_STSvp_ROI</t>
        </is>
      </c>
      <c r="B131" t="n">
        <v>1.24</v>
      </c>
      <c r="C131" t="n">
        <v>1148</v>
      </c>
      <c r="D131">
        <f> 0.216</f>
        <v/>
      </c>
      <c r="E131" t="n">
        <v>0.08</v>
      </c>
      <c r="F131" t="inlineStr">
        <is>
          <t>[-0.04, 0.20]</t>
        </is>
      </c>
      <c r="G131">
        <f> 0.997</f>
        <v/>
      </c>
      <c r="H131" t="inlineStr"/>
    </row>
    <row r="132">
      <c r="A132" t="inlineStr">
        <is>
          <t>R_TGd_ROI</t>
        </is>
      </c>
      <c r="B132" t="n">
        <v>1.18</v>
      </c>
      <c r="C132" t="n">
        <v>1148</v>
      </c>
      <c r="D132">
        <f> 0.237</f>
        <v/>
      </c>
      <c r="E132" t="n">
        <v>0.07000000000000001</v>
      </c>
      <c r="F132" t="inlineStr">
        <is>
          <t>[-0.05, 0.20]</t>
        </is>
      </c>
      <c r="G132">
        <f> 0.997</f>
        <v/>
      </c>
      <c r="H132" t="inlineStr"/>
    </row>
    <row r="133">
      <c r="A133" t="inlineStr">
        <is>
          <t>R_TE1a_ROI</t>
        </is>
      </c>
      <c r="B133" t="n">
        <v>-0.06</v>
      </c>
      <c r="C133" t="n">
        <v>1148</v>
      </c>
      <c r="D133">
        <f> 0.949</f>
        <v/>
      </c>
      <c r="E133" t="n">
        <v>-0</v>
      </c>
      <c r="F133" t="inlineStr">
        <is>
          <t>[-0.13, 0.12]</t>
        </is>
      </c>
      <c r="G133">
        <f> 0.997</f>
        <v/>
      </c>
      <c r="H133" t="inlineStr"/>
    </row>
    <row r="134">
      <c r="A134" t="inlineStr">
        <is>
          <t>R_TE1p_ROI</t>
        </is>
      </c>
      <c r="B134" t="n">
        <v>-0.13</v>
      </c>
      <c r="C134" t="n">
        <v>1148</v>
      </c>
      <c r="D134">
        <f> 0.897</f>
        <v/>
      </c>
      <c r="E134" t="n">
        <v>-0.01</v>
      </c>
      <c r="F134" t="inlineStr">
        <is>
          <t>[-0.13, 0.11]</t>
        </is>
      </c>
      <c r="G134">
        <f> 0.997</f>
        <v/>
      </c>
      <c r="H134" t="inlineStr"/>
    </row>
    <row r="135">
      <c r="A135" t="inlineStr">
        <is>
          <t>R_TE2a_ROI</t>
        </is>
      </c>
      <c r="B135" t="n">
        <v>0.95</v>
      </c>
      <c r="C135" t="n">
        <v>1148</v>
      </c>
      <c r="D135">
        <f> 0.344</f>
        <v/>
      </c>
      <c r="E135" t="n">
        <v>0.06</v>
      </c>
      <c r="F135" t="inlineStr">
        <is>
          <t>[-0.06, 0.18]</t>
        </is>
      </c>
      <c r="G135">
        <f> 0.997</f>
        <v/>
      </c>
      <c r="H135" t="inlineStr"/>
    </row>
    <row r="136">
      <c r="A136" t="inlineStr">
        <is>
          <t>R_TF_ROI</t>
        </is>
      </c>
      <c r="B136" t="n">
        <v>0.16</v>
      </c>
      <c r="C136" t="n">
        <v>1148</v>
      </c>
      <c r="D136">
        <f> 0.875</f>
        <v/>
      </c>
      <c r="E136" t="n">
        <v>0.01</v>
      </c>
      <c r="F136" t="inlineStr">
        <is>
          <t>[-0.11, 0.13]</t>
        </is>
      </c>
      <c r="G136">
        <f> 0.997</f>
        <v/>
      </c>
      <c r="H136" t="inlineStr"/>
    </row>
    <row r="137">
      <c r="A137" t="inlineStr">
        <is>
          <t>R_TE2p_ROI</t>
        </is>
      </c>
      <c r="B137" t="n">
        <v>-0.44</v>
      </c>
      <c r="C137" t="n">
        <v>1148</v>
      </c>
      <c r="D137">
        <f> 0.661</f>
        <v/>
      </c>
      <c r="E137" t="n">
        <v>-0.03</v>
      </c>
      <c r="F137" t="inlineStr">
        <is>
          <t>[-0.15, 0.09]</t>
        </is>
      </c>
      <c r="G137">
        <f> 0.997</f>
        <v/>
      </c>
      <c r="H137" t="inlineStr"/>
    </row>
    <row r="138">
      <c r="A138" t="inlineStr">
        <is>
          <t>R_PHT_ROI</t>
        </is>
      </c>
      <c r="B138" t="n">
        <v>0.66</v>
      </c>
      <c r="C138" t="n">
        <v>1148</v>
      </c>
      <c r="D138">
        <f> 0.508</f>
        <v/>
      </c>
      <c r="E138" t="n">
        <v>0.04</v>
      </c>
      <c r="F138" t="inlineStr">
        <is>
          <t>[-0.08, 0.16]</t>
        </is>
      </c>
      <c r="G138">
        <f> 0.997</f>
        <v/>
      </c>
      <c r="H138" t="inlineStr"/>
    </row>
    <row r="139">
      <c r="A139" t="inlineStr">
        <is>
          <t>R_PH_ROI</t>
        </is>
      </c>
      <c r="B139" t="n">
        <v>-0.45</v>
      </c>
      <c r="C139" t="n">
        <v>1148</v>
      </c>
      <c r="D139">
        <f> 0.652</f>
        <v/>
      </c>
      <c r="E139" t="n">
        <v>-0.03</v>
      </c>
      <c r="F139" t="inlineStr">
        <is>
          <t>[-0.15, 0.09]</t>
        </is>
      </c>
      <c r="G139">
        <f> 0.997</f>
        <v/>
      </c>
      <c r="H139" t="inlineStr"/>
    </row>
    <row r="140">
      <c r="A140" t="inlineStr">
        <is>
          <t>R_TPOJ1_ROI</t>
        </is>
      </c>
      <c r="B140" t="n">
        <v>0.42</v>
      </c>
      <c r="C140" t="n">
        <v>1148</v>
      </c>
      <c r="D140">
        <f> 0.677</f>
        <v/>
      </c>
      <c r="E140" t="n">
        <v>0.03</v>
      </c>
      <c r="F140" t="inlineStr">
        <is>
          <t>[-0.10, 0.15]</t>
        </is>
      </c>
      <c r="G140">
        <f> 0.997</f>
        <v/>
      </c>
      <c r="H140" t="inlineStr"/>
    </row>
    <row r="141">
      <c r="A141" t="inlineStr">
        <is>
          <t>R_TPOJ2_ROI</t>
        </is>
      </c>
      <c r="B141" t="n">
        <v>0.55</v>
      </c>
      <c r="C141" t="n">
        <v>1148</v>
      </c>
      <c r="D141">
        <f> 0.580</f>
        <v/>
      </c>
      <c r="E141" t="n">
        <v>0.03</v>
      </c>
      <c r="F141" t="inlineStr">
        <is>
          <t>[-0.09, 0.16]</t>
        </is>
      </c>
      <c r="G141">
        <f> 0.997</f>
        <v/>
      </c>
      <c r="H141" t="inlineStr"/>
    </row>
    <row r="142">
      <c r="A142" t="inlineStr">
        <is>
          <t>R_TPOJ3_ROI</t>
        </is>
      </c>
      <c r="B142" t="n">
        <v>0.92</v>
      </c>
      <c r="C142" t="n">
        <v>1148</v>
      </c>
      <c r="D142">
        <f> 0.357</f>
        <v/>
      </c>
      <c r="E142" t="n">
        <v>0.06</v>
      </c>
      <c r="F142" t="inlineStr">
        <is>
          <t>[-0.06, 0.18]</t>
        </is>
      </c>
      <c r="G142">
        <f> 0.997</f>
        <v/>
      </c>
      <c r="H142" t="inlineStr"/>
    </row>
    <row r="143">
      <c r="A143" t="inlineStr">
        <is>
          <t>R_DVT_ROI</t>
        </is>
      </c>
      <c r="B143" t="n">
        <v>-0.48</v>
      </c>
      <c r="C143" t="n">
        <v>1148</v>
      </c>
      <c r="D143">
        <f> 0.634</f>
        <v/>
      </c>
      <c r="E143" t="n">
        <v>-0.03</v>
      </c>
      <c r="F143" t="inlineStr">
        <is>
          <t>[-0.15, 0.09]</t>
        </is>
      </c>
      <c r="G143">
        <f> 0.997</f>
        <v/>
      </c>
      <c r="H143" t="inlineStr"/>
    </row>
    <row r="144">
      <c r="A144" t="inlineStr">
        <is>
          <t>R_PGp_ROI</t>
        </is>
      </c>
      <c r="B144" t="n">
        <v>-0.41</v>
      </c>
      <c r="C144" t="n">
        <v>1148</v>
      </c>
      <c r="D144">
        <f> 0.680</f>
        <v/>
      </c>
      <c r="E144" t="n">
        <v>-0.03</v>
      </c>
      <c r="F144" t="inlineStr">
        <is>
          <t>[-0.15, 0.10]</t>
        </is>
      </c>
      <c r="G144">
        <f> 0.997</f>
        <v/>
      </c>
      <c r="H144" t="inlineStr"/>
    </row>
    <row r="145">
      <c r="A145" t="inlineStr">
        <is>
          <t>R_IP2_ROI</t>
        </is>
      </c>
      <c r="B145" t="n">
        <v>0.05</v>
      </c>
      <c r="C145" t="n">
        <v>1148</v>
      </c>
      <c r="D145">
        <f> 0.958</f>
        <v/>
      </c>
      <c r="E145" t="n">
        <v>0</v>
      </c>
      <c r="F145" t="inlineStr">
        <is>
          <t>[-0.12, 0.13]</t>
        </is>
      </c>
      <c r="G145">
        <f> 0.997</f>
        <v/>
      </c>
      <c r="H145" t="inlineStr"/>
    </row>
    <row r="146">
      <c r="A146" t="inlineStr">
        <is>
          <t>R_IP1_ROI</t>
        </is>
      </c>
      <c r="B146" t="n">
        <v>-0.57</v>
      </c>
      <c r="C146" t="n">
        <v>1148</v>
      </c>
      <c r="D146">
        <f> 0.570</f>
        <v/>
      </c>
      <c r="E146" t="n">
        <v>-0.04</v>
      </c>
      <c r="F146" t="inlineStr">
        <is>
          <t>[-0.16, 0.09]</t>
        </is>
      </c>
      <c r="G146">
        <f> 0.997</f>
        <v/>
      </c>
      <c r="H146" t="inlineStr"/>
    </row>
    <row r="147">
      <c r="A147" t="inlineStr">
        <is>
          <t>R_IP0_ROI</t>
        </is>
      </c>
      <c r="B147" t="n">
        <v>-0.68</v>
      </c>
      <c r="C147" t="n">
        <v>1148</v>
      </c>
      <c r="D147">
        <f> 0.498</f>
        <v/>
      </c>
      <c r="E147" t="n">
        <v>-0.04</v>
      </c>
      <c r="F147" t="inlineStr">
        <is>
          <t>[-0.16, 0.08]</t>
        </is>
      </c>
      <c r="G147">
        <f> 0.997</f>
        <v/>
      </c>
      <c r="H147" t="inlineStr"/>
    </row>
    <row r="148">
      <c r="A148" t="inlineStr">
        <is>
          <t>R_PFop_ROI</t>
        </is>
      </c>
      <c r="B148" t="n">
        <v>0.5</v>
      </c>
      <c r="C148" t="n">
        <v>1148</v>
      </c>
      <c r="D148">
        <f> 0.619</f>
        <v/>
      </c>
      <c r="E148" t="n">
        <v>0.03</v>
      </c>
      <c r="F148" t="inlineStr">
        <is>
          <t>[-0.09, 0.15]</t>
        </is>
      </c>
      <c r="G148">
        <f> 0.997</f>
        <v/>
      </c>
      <c r="H148" t="inlineStr"/>
    </row>
    <row r="149">
      <c r="A149" t="inlineStr">
        <is>
          <t>R_PF_ROI</t>
        </is>
      </c>
      <c r="B149" t="n">
        <v>-0.36</v>
      </c>
      <c r="C149" t="n">
        <v>1148</v>
      </c>
      <c r="D149">
        <f> 0.722</f>
        <v/>
      </c>
      <c r="E149" t="n">
        <v>-0.02</v>
      </c>
      <c r="F149" t="inlineStr">
        <is>
          <t>[-0.14, 0.10]</t>
        </is>
      </c>
      <c r="G149">
        <f> 0.997</f>
        <v/>
      </c>
      <c r="H149" t="inlineStr"/>
    </row>
    <row r="150">
      <c r="A150" t="inlineStr">
        <is>
          <t>R_PFm_ROI</t>
        </is>
      </c>
      <c r="B150" t="n">
        <v>0.67</v>
      </c>
      <c r="C150" t="n">
        <v>1148</v>
      </c>
      <c r="D150">
        <f> 0.502</f>
        <v/>
      </c>
      <c r="E150" t="n">
        <v>0.04</v>
      </c>
      <c r="F150" t="inlineStr">
        <is>
          <t>[-0.08, 0.16]</t>
        </is>
      </c>
      <c r="G150">
        <f> 0.997</f>
        <v/>
      </c>
      <c r="H150" t="inlineStr"/>
    </row>
    <row r="151">
      <c r="A151" t="inlineStr">
        <is>
          <t>R_PGi_ROI</t>
        </is>
      </c>
      <c r="B151" t="n">
        <v>0.13</v>
      </c>
      <c r="C151" t="n">
        <v>1148</v>
      </c>
      <c r="D151">
        <f> 0.893</f>
        <v/>
      </c>
      <c r="E151" t="n">
        <v>0.01</v>
      </c>
      <c r="F151" t="inlineStr">
        <is>
          <t>[-0.11, 0.13]</t>
        </is>
      </c>
      <c r="G151">
        <f> 0.997</f>
        <v/>
      </c>
      <c r="H151" t="inlineStr"/>
    </row>
    <row r="152">
      <c r="A152" t="inlineStr">
        <is>
          <t>R_PGs_ROI</t>
        </is>
      </c>
      <c r="B152" t="n">
        <v>-0.36</v>
      </c>
      <c r="C152" t="n">
        <v>1148</v>
      </c>
      <c r="D152">
        <f> 0.716</f>
        <v/>
      </c>
      <c r="E152" t="n">
        <v>-0.02</v>
      </c>
      <c r="F152" t="inlineStr">
        <is>
          <t>[-0.14, 0.10]</t>
        </is>
      </c>
      <c r="G152">
        <f> 0.997</f>
        <v/>
      </c>
      <c r="H152" t="inlineStr"/>
    </row>
    <row r="153">
      <c r="A153" t="inlineStr">
        <is>
          <t>R_V6A_ROI</t>
        </is>
      </c>
      <c r="B153" t="n">
        <v>0.62</v>
      </c>
      <c r="C153" t="n">
        <v>1148</v>
      </c>
      <c r="D153">
        <f> 0.535</f>
        <v/>
      </c>
      <c r="E153" t="n">
        <v>0.04</v>
      </c>
      <c r="F153" t="inlineStr">
        <is>
          <t>[-0.08, 0.16]</t>
        </is>
      </c>
      <c r="G153">
        <f> 0.997</f>
        <v/>
      </c>
      <c r="H153" t="inlineStr"/>
    </row>
    <row r="154">
      <c r="A154" t="inlineStr">
        <is>
          <t>R_VMV1_ROI</t>
        </is>
      </c>
      <c r="B154" t="n">
        <v>1.54</v>
      </c>
      <c r="C154" t="n">
        <v>1148</v>
      </c>
      <c r="D154">
        <f> 0.123</f>
        <v/>
      </c>
      <c r="E154" t="n">
        <v>0.1</v>
      </c>
      <c r="F154" t="inlineStr">
        <is>
          <t>[-0.03, 0.22]</t>
        </is>
      </c>
      <c r="G154">
        <f> 0.997</f>
        <v/>
      </c>
      <c r="H154" t="inlineStr"/>
    </row>
    <row r="155">
      <c r="A155" t="inlineStr">
        <is>
          <t>R_VMV3_ROI</t>
        </is>
      </c>
      <c r="B155" t="n">
        <v>-0.59</v>
      </c>
      <c r="C155" t="n">
        <v>1148</v>
      </c>
      <c r="D155">
        <f> 0.556</f>
        <v/>
      </c>
      <c r="E155" t="n">
        <v>-0.04</v>
      </c>
      <c r="F155" t="inlineStr">
        <is>
          <t>[-0.16, 0.08]</t>
        </is>
      </c>
      <c r="G155">
        <f> 0.997</f>
        <v/>
      </c>
      <c r="H155" t="inlineStr"/>
    </row>
    <row r="156">
      <c r="A156" t="inlineStr">
        <is>
          <t>R_PHA2_ROI</t>
        </is>
      </c>
      <c r="B156" t="n">
        <v>0.85</v>
      </c>
      <c r="C156" t="n">
        <v>1148</v>
      </c>
      <c r="D156">
        <f> 0.394</f>
        <v/>
      </c>
      <c r="E156" t="n">
        <v>0.05</v>
      </c>
      <c r="F156" t="inlineStr">
        <is>
          <t>[-0.07, 0.17]</t>
        </is>
      </c>
      <c r="G156">
        <f> 0.997</f>
        <v/>
      </c>
      <c r="H156" t="inlineStr"/>
    </row>
    <row r="157">
      <c r="A157" t="inlineStr">
        <is>
          <t>R_V4t_ROI</t>
        </is>
      </c>
      <c r="B157" t="n">
        <v>-0.16</v>
      </c>
      <c r="C157" t="n">
        <v>1148</v>
      </c>
      <c r="D157">
        <f> 0.869</f>
        <v/>
      </c>
      <c r="E157" t="n">
        <v>-0.01</v>
      </c>
      <c r="F157" t="inlineStr">
        <is>
          <t>[-0.13, 0.11]</t>
        </is>
      </c>
      <c r="G157">
        <f> 0.997</f>
        <v/>
      </c>
      <c r="H157" t="inlineStr"/>
    </row>
    <row r="158">
      <c r="A158" t="inlineStr">
        <is>
          <t>R_FST_ROI</t>
        </is>
      </c>
      <c r="B158" t="n">
        <v>-0.75</v>
      </c>
      <c r="C158" t="n">
        <v>1148</v>
      </c>
      <c r="D158">
        <f> 0.454</f>
        <v/>
      </c>
      <c r="E158" t="n">
        <v>-0.05</v>
      </c>
      <c r="F158" t="inlineStr">
        <is>
          <t>[-0.17, 0.07]</t>
        </is>
      </c>
      <c r="G158">
        <f> 0.997</f>
        <v/>
      </c>
      <c r="H158" t="inlineStr"/>
    </row>
    <row r="159">
      <c r="A159" t="inlineStr">
        <is>
          <t>R_V3CD_ROI</t>
        </is>
      </c>
      <c r="B159" t="n">
        <v>0.45</v>
      </c>
      <c r="C159" t="n">
        <v>1148</v>
      </c>
      <c r="D159">
        <f> 0.656</f>
        <v/>
      </c>
      <c r="E159" t="n">
        <v>0.03</v>
      </c>
      <c r="F159" t="inlineStr">
        <is>
          <t>[-0.09, 0.15]</t>
        </is>
      </c>
      <c r="G159">
        <f> 0.997</f>
        <v/>
      </c>
      <c r="H159" t="inlineStr"/>
    </row>
    <row r="160">
      <c r="A160" t="inlineStr">
        <is>
          <t>R_LO3_ROI</t>
        </is>
      </c>
      <c r="B160" t="n">
        <v>-0.22</v>
      </c>
      <c r="C160" t="n">
        <v>1148</v>
      </c>
      <c r="D160">
        <f> 0.822</f>
        <v/>
      </c>
      <c r="E160" t="n">
        <v>-0.01</v>
      </c>
      <c r="F160" t="inlineStr">
        <is>
          <t>[-0.14, 0.11]</t>
        </is>
      </c>
      <c r="G160">
        <f> 0.997</f>
        <v/>
      </c>
      <c r="H160" t="inlineStr"/>
    </row>
    <row r="161">
      <c r="A161" t="inlineStr">
        <is>
          <t>R_VMV2_ROI</t>
        </is>
      </c>
      <c r="B161" t="n">
        <v>1.85</v>
      </c>
      <c r="C161" t="n">
        <v>1148</v>
      </c>
      <c r="D161">
        <f> 0.064</f>
        <v/>
      </c>
      <c r="E161" t="n">
        <v>0.12</v>
      </c>
      <c r="F161" t="inlineStr">
        <is>
          <t>[-0.01, 0.24]</t>
        </is>
      </c>
      <c r="G161">
        <f> 0.997</f>
        <v/>
      </c>
      <c r="H161" t="inlineStr"/>
    </row>
    <row r="162">
      <c r="A162" t="inlineStr">
        <is>
          <t>R_31pd_ROI</t>
        </is>
      </c>
      <c r="B162" t="n">
        <v>0.03</v>
      </c>
      <c r="C162" t="n">
        <v>1148</v>
      </c>
      <c r="D162">
        <f> 0.979</f>
        <v/>
      </c>
      <c r="E162" t="n">
        <v>0</v>
      </c>
      <c r="F162" t="inlineStr">
        <is>
          <t>[-0.12, 0.12]</t>
        </is>
      </c>
      <c r="G162">
        <f> 0.997</f>
        <v/>
      </c>
      <c r="H162" t="inlineStr"/>
    </row>
    <row r="163">
      <c r="A163" t="inlineStr">
        <is>
          <t>R_31a_ROI</t>
        </is>
      </c>
      <c r="B163" t="n">
        <v>-0.64</v>
      </c>
      <c r="C163" t="n">
        <v>1148</v>
      </c>
      <c r="D163">
        <f> 0.523</f>
        <v/>
      </c>
      <c r="E163" t="n">
        <v>-0.04</v>
      </c>
      <c r="F163" t="inlineStr">
        <is>
          <t>[-0.16, 0.08]</t>
        </is>
      </c>
      <c r="G163">
        <f> 0.997</f>
        <v/>
      </c>
      <c r="H163" t="inlineStr"/>
    </row>
    <row r="164">
      <c r="A164" t="inlineStr">
        <is>
          <t>R_VVC_ROI</t>
        </is>
      </c>
      <c r="B164" t="n">
        <v>0.18</v>
      </c>
      <c r="C164" t="n">
        <v>1148</v>
      </c>
      <c r="D164">
        <f> 0.857</f>
        <v/>
      </c>
      <c r="E164" t="n">
        <v>0.01</v>
      </c>
      <c r="F164" t="inlineStr">
        <is>
          <t>[-0.11, 0.13]</t>
        </is>
      </c>
      <c r="G164">
        <f> 0.997</f>
        <v/>
      </c>
      <c r="H164" t="inlineStr"/>
    </row>
    <row r="165">
      <c r="A165" t="inlineStr">
        <is>
          <t>R_25_ROI</t>
        </is>
      </c>
      <c r="B165" t="n">
        <v>1.08</v>
      </c>
      <c r="C165" t="n">
        <v>1148</v>
      </c>
      <c r="D165">
        <f> 0.278</f>
        <v/>
      </c>
      <c r="E165" t="n">
        <v>0.07000000000000001</v>
      </c>
      <c r="F165" t="inlineStr">
        <is>
          <t>[-0.06, 0.19]</t>
        </is>
      </c>
      <c r="G165">
        <f> 0.997</f>
        <v/>
      </c>
      <c r="H165" t="inlineStr"/>
    </row>
    <row r="166">
      <c r="A166" t="inlineStr">
        <is>
          <t>R_s32_ROI</t>
        </is>
      </c>
      <c r="B166" t="n">
        <v>-0.92</v>
      </c>
      <c r="C166" t="n">
        <v>1148</v>
      </c>
      <c r="D166">
        <f> 0.356</f>
        <v/>
      </c>
      <c r="E166" t="n">
        <v>-0.06</v>
      </c>
      <c r="F166" t="inlineStr">
        <is>
          <t>[-0.18, 0.07]</t>
        </is>
      </c>
      <c r="G166">
        <f> 0.997</f>
        <v/>
      </c>
      <c r="H166" t="inlineStr"/>
    </row>
    <row r="167">
      <c r="A167" t="inlineStr">
        <is>
          <t>R_pOFC_ROI</t>
        </is>
      </c>
      <c r="B167" t="n">
        <v>-0.02</v>
      </c>
      <c r="C167" t="n">
        <v>1148</v>
      </c>
      <c r="D167">
        <f> 0.981</f>
        <v/>
      </c>
      <c r="E167" t="n">
        <v>-0</v>
      </c>
      <c r="F167" t="inlineStr">
        <is>
          <t>[-0.12, 0.12]</t>
        </is>
      </c>
      <c r="G167">
        <f> 0.997</f>
        <v/>
      </c>
      <c r="H167" t="inlineStr"/>
    </row>
    <row r="168">
      <c r="A168" t="inlineStr">
        <is>
          <t>R_PoI1_ROI</t>
        </is>
      </c>
      <c r="B168" t="n">
        <v>-1.44</v>
      </c>
      <c r="C168" t="n">
        <v>1148</v>
      </c>
      <c r="D168">
        <f> 0.149</f>
        <v/>
      </c>
      <c r="E168" t="n">
        <v>-0.09</v>
      </c>
      <c r="F168" t="inlineStr">
        <is>
          <t>[-0.21, 0.03]</t>
        </is>
      </c>
      <c r="G168">
        <f> 0.997</f>
        <v/>
      </c>
      <c r="H168" t="inlineStr"/>
    </row>
    <row r="169">
      <c r="A169" t="inlineStr">
        <is>
          <t>R_Ig_ROI</t>
        </is>
      </c>
      <c r="B169" t="n">
        <v>0.82</v>
      </c>
      <c r="C169" t="n">
        <v>1148</v>
      </c>
      <c r="D169">
        <f> 0.413</f>
        <v/>
      </c>
      <c r="E169" t="n">
        <v>0.05</v>
      </c>
      <c r="F169" t="inlineStr">
        <is>
          <t>[-0.07, 0.17]</t>
        </is>
      </c>
      <c r="G169">
        <f> 0.997</f>
        <v/>
      </c>
      <c r="H169" t="inlineStr"/>
    </row>
    <row r="170">
      <c r="A170" t="inlineStr">
        <is>
          <t>R_FOP5_ROI</t>
        </is>
      </c>
      <c r="B170" t="n">
        <v>0.61</v>
      </c>
      <c r="C170" t="n">
        <v>1148</v>
      </c>
      <c r="D170">
        <f> 0.539</f>
        <v/>
      </c>
      <c r="E170" t="n">
        <v>0.04</v>
      </c>
      <c r="F170" t="inlineStr">
        <is>
          <t>[-0.08, 0.16]</t>
        </is>
      </c>
      <c r="G170">
        <f> 0.997</f>
        <v/>
      </c>
      <c r="H170" t="inlineStr"/>
    </row>
    <row r="171">
      <c r="A171" t="inlineStr">
        <is>
          <t>R_p10p_ROI</t>
        </is>
      </c>
      <c r="B171" t="n">
        <v>-0.07000000000000001</v>
      </c>
      <c r="C171" t="n">
        <v>1148</v>
      </c>
      <c r="D171">
        <f> 0.945</f>
        <v/>
      </c>
      <c r="E171" t="n">
        <v>-0</v>
      </c>
      <c r="F171" t="inlineStr">
        <is>
          <t>[-0.13, 0.12]</t>
        </is>
      </c>
      <c r="G171">
        <f> 0.997</f>
        <v/>
      </c>
      <c r="H171" t="inlineStr"/>
    </row>
    <row r="172">
      <c r="A172" t="inlineStr">
        <is>
          <t>R_p47r_ROI</t>
        </is>
      </c>
      <c r="B172" t="n">
        <v>-0.09</v>
      </c>
      <c r="C172" t="n">
        <v>1148</v>
      </c>
      <c r="D172">
        <f> 0.930</f>
        <v/>
      </c>
      <c r="E172" t="n">
        <v>-0.01</v>
      </c>
      <c r="F172" t="inlineStr">
        <is>
          <t>[-0.13, 0.12]</t>
        </is>
      </c>
      <c r="G172">
        <f> 0.997</f>
        <v/>
      </c>
      <c r="H172" t="inlineStr"/>
    </row>
    <row r="173">
      <c r="A173" t="inlineStr">
        <is>
          <t>R_TGv_ROI</t>
        </is>
      </c>
      <c r="B173" t="n">
        <v>-0.28</v>
      </c>
      <c r="C173" t="n">
        <v>1148</v>
      </c>
      <c r="D173">
        <f> 0.781</f>
        <v/>
      </c>
      <c r="E173" t="n">
        <v>-0.02</v>
      </c>
      <c r="F173" t="inlineStr">
        <is>
          <t>[-0.14, 0.10]</t>
        </is>
      </c>
      <c r="G173">
        <f> 0.997</f>
        <v/>
      </c>
      <c r="H173" t="inlineStr"/>
    </row>
    <row r="174">
      <c r="A174" t="inlineStr">
        <is>
          <t>R_MBelt_ROI</t>
        </is>
      </c>
      <c r="B174" t="n">
        <v>0.42</v>
      </c>
      <c r="C174" t="n">
        <v>1148</v>
      </c>
      <c r="D174">
        <f> 0.672</f>
        <v/>
      </c>
      <c r="E174" t="n">
        <v>0.03</v>
      </c>
      <c r="F174" t="inlineStr">
        <is>
          <t>[-0.09, 0.15]</t>
        </is>
      </c>
      <c r="G174">
        <f> 0.997</f>
        <v/>
      </c>
      <c r="H174" t="inlineStr"/>
    </row>
    <row r="175">
      <c r="A175" t="inlineStr">
        <is>
          <t>R_LBelt_ROI</t>
        </is>
      </c>
      <c r="B175" t="n">
        <v>0.26</v>
      </c>
      <c r="C175" t="n">
        <v>1148</v>
      </c>
      <c r="D175">
        <f> 0.799</f>
        <v/>
      </c>
      <c r="E175" t="n">
        <v>0.02</v>
      </c>
      <c r="F175" t="inlineStr">
        <is>
          <t>[-0.11, 0.14]</t>
        </is>
      </c>
      <c r="G175">
        <f> 0.997</f>
        <v/>
      </c>
      <c r="H175" t="inlineStr"/>
    </row>
    <row r="176">
      <c r="A176" t="inlineStr">
        <is>
          <t>R_A4_ROI</t>
        </is>
      </c>
      <c r="B176" t="n">
        <v>-0.19</v>
      </c>
      <c r="C176" t="n">
        <v>1148</v>
      </c>
      <c r="D176">
        <f> 0.847</f>
        <v/>
      </c>
      <c r="E176" t="n">
        <v>-0.01</v>
      </c>
      <c r="F176" t="inlineStr">
        <is>
          <t>[-0.13, 0.11]</t>
        </is>
      </c>
      <c r="G176">
        <f> 0.997</f>
        <v/>
      </c>
      <c r="H176" t="inlineStr"/>
    </row>
    <row r="177">
      <c r="A177" t="inlineStr">
        <is>
          <t>R_STSva_ROI</t>
        </is>
      </c>
      <c r="B177" t="n">
        <v>0.88</v>
      </c>
      <c r="C177" t="n">
        <v>1148</v>
      </c>
      <c r="D177">
        <f> 0.380</f>
        <v/>
      </c>
      <c r="E177" t="n">
        <v>0.05</v>
      </c>
      <c r="F177" t="inlineStr">
        <is>
          <t>[-0.07, 0.17]</t>
        </is>
      </c>
      <c r="G177">
        <f> 0.997</f>
        <v/>
      </c>
      <c r="H177" t="inlineStr"/>
    </row>
    <row r="178">
      <c r="A178" t="inlineStr">
        <is>
          <t>R_TE1m_ROI</t>
        </is>
      </c>
      <c r="B178" t="n">
        <v>-0.79</v>
      </c>
      <c r="C178" t="n">
        <v>1148</v>
      </c>
      <c r="D178">
        <f> 0.428</f>
        <v/>
      </c>
      <c r="E178" t="n">
        <v>-0.05</v>
      </c>
      <c r="F178" t="inlineStr">
        <is>
          <t>[-0.17, 0.07]</t>
        </is>
      </c>
      <c r="G178">
        <f> 0.997</f>
        <v/>
      </c>
      <c r="H178" t="inlineStr"/>
    </row>
    <row r="179">
      <c r="A179" t="inlineStr">
        <is>
          <t>R_PI_ROI</t>
        </is>
      </c>
      <c r="B179" t="n">
        <v>-0.26</v>
      </c>
      <c r="C179" t="n">
        <v>1148</v>
      </c>
      <c r="D179">
        <f> 0.792</f>
        <v/>
      </c>
      <c r="E179" t="n">
        <v>-0.02</v>
      </c>
      <c r="F179" t="inlineStr">
        <is>
          <t>[-0.14, 0.11]</t>
        </is>
      </c>
      <c r="G179">
        <f> 0.997</f>
        <v/>
      </c>
      <c r="H179" t="inlineStr"/>
    </row>
    <row r="180">
      <c r="A180" t="inlineStr">
        <is>
          <t>R_a32pr_ROI</t>
        </is>
      </c>
      <c r="B180" t="n">
        <v>0.37</v>
      </c>
      <c r="C180" t="n">
        <v>1148</v>
      </c>
      <c r="D180">
        <f> 0.711</f>
        <v/>
      </c>
      <c r="E180" t="n">
        <v>0.02</v>
      </c>
      <c r="F180" t="inlineStr">
        <is>
          <t>[-0.10, 0.14]</t>
        </is>
      </c>
      <c r="G180">
        <f> 0.997</f>
        <v/>
      </c>
      <c r="H180" t="inlineStr"/>
    </row>
    <row r="181">
      <c r="A181" t="inlineStr">
        <is>
          <t>R_p24_ROI</t>
        </is>
      </c>
      <c r="B181" t="n">
        <v>-2.04</v>
      </c>
      <c r="C181" t="n">
        <v>1148</v>
      </c>
      <c r="D181">
        <f> 0.041</f>
        <v/>
      </c>
      <c r="E181" t="n">
        <v>-0.12</v>
      </c>
      <c r="F181" t="inlineStr">
        <is>
          <t>[-0.24, -0.00]</t>
        </is>
      </c>
      <c r="G181">
        <f> 0.997</f>
        <v/>
      </c>
      <c r="H181" t="inlineStr"/>
    </row>
    <row r="182">
      <c r="A182" t="inlineStr">
        <is>
          <t>L_V1_ROI</t>
        </is>
      </c>
      <c r="B182" t="n">
        <v>-0.53</v>
      </c>
      <c r="C182" t="n">
        <v>1148</v>
      </c>
      <c r="D182">
        <f> 0.595</f>
        <v/>
      </c>
      <c r="E182" t="n">
        <v>-0.03</v>
      </c>
      <c r="F182" t="inlineStr">
        <is>
          <t>[-0.16, 0.09]</t>
        </is>
      </c>
      <c r="G182">
        <f> 0.997</f>
        <v/>
      </c>
      <c r="H182" t="inlineStr"/>
    </row>
    <row r="183">
      <c r="A183" t="inlineStr">
        <is>
          <t>L_MST_ROI</t>
        </is>
      </c>
      <c r="B183" t="n">
        <v>0.43</v>
      </c>
      <c r="C183" t="n">
        <v>1148</v>
      </c>
      <c r="D183">
        <f> 0.667</f>
        <v/>
      </c>
      <c r="E183" t="n">
        <v>0.03</v>
      </c>
      <c r="F183" t="inlineStr">
        <is>
          <t>[-0.10, 0.15]</t>
        </is>
      </c>
      <c r="G183">
        <f> 0.997</f>
        <v/>
      </c>
      <c r="H183" t="inlineStr"/>
    </row>
    <row r="184">
      <c r="A184" t="inlineStr">
        <is>
          <t>L_V6_ROI</t>
        </is>
      </c>
      <c r="B184" t="n">
        <v>-1.22</v>
      </c>
      <c r="C184" t="n">
        <v>1148</v>
      </c>
      <c r="D184">
        <f> 0.224</f>
        <v/>
      </c>
      <c r="E184" t="n">
        <v>-0.08</v>
      </c>
      <c r="F184" t="inlineStr">
        <is>
          <t>[-0.20, 0.05]</t>
        </is>
      </c>
      <c r="G184">
        <f> 0.997</f>
        <v/>
      </c>
      <c r="H184" t="inlineStr"/>
    </row>
    <row r="185">
      <c r="A185" t="inlineStr">
        <is>
          <t>L_V2_ROI</t>
        </is>
      </c>
      <c r="B185" t="n">
        <v>-1.11</v>
      </c>
      <c r="C185" t="n">
        <v>1148</v>
      </c>
      <c r="D185">
        <f> 0.266</f>
        <v/>
      </c>
      <c r="E185" t="n">
        <v>-0.07000000000000001</v>
      </c>
      <c r="F185" t="inlineStr">
        <is>
          <t>[-0.19, 0.05]</t>
        </is>
      </c>
      <c r="G185">
        <f> 0.997</f>
        <v/>
      </c>
      <c r="H185" t="inlineStr"/>
    </row>
    <row r="186">
      <c r="A186" t="inlineStr">
        <is>
          <t>L_V3_ROI</t>
        </is>
      </c>
      <c r="B186" t="n">
        <v>-0.35</v>
      </c>
      <c r="C186" t="n">
        <v>1148</v>
      </c>
      <c r="D186">
        <f> 0.726</f>
        <v/>
      </c>
      <c r="E186" t="n">
        <v>-0.02</v>
      </c>
      <c r="F186" t="inlineStr">
        <is>
          <t>[-0.14, 0.10]</t>
        </is>
      </c>
      <c r="G186">
        <f> 0.997</f>
        <v/>
      </c>
      <c r="H186" t="inlineStr"/>
    </row>
    <row r="187">
      <c r="A187" t="inlineStr">
        <is>
          <t>L_V4_ROI</t>
        </is>
      </c>
      <c r="B187" t="n">
        <v>0.77</v>
      </c>
      <c r="C187" t="n">
        <v>1148</v>
      </c>
      <c r="D187">
        <f> 0.444</f>
        <v/>
      </c>
      <c r="E187" t="n">
        <v>0.05</v>
      </c>
      <c r="F187" t="inlineStr">
        <is>
          <t>[-0.07, 0.17]</t>
        </is>
      </c>
      <c r="G187">
        <f> 0.997</f>
        <v/>
      </c>
      <c r="H187" t="inlineStr"/>
    </row>
    <row r="188">
      <c r="A188" t="inlineStr">
        <is>
          <t>L_V8_ROI</t>
        </is>
      </c>
      <c r="B188" t="n">
        <v>0.8</v>
      </c>
      <c r="C188" t="n">
        <v>1148</v>
      </c>
      <c r="D188">
        <f> 0.424</f>
        <v/>
      </c>
      <c r="E188" t="n">
        <v>0.05</v>
      </c>
      <c r="F188" t="inlineStr">
        <is>
          <t>[-0.07, 0.17]</t>
        </is>
      </c>
      <c r="G188">
        <f> 0.997</f>
        <v/>
      </c>
      <c r="H188" t="inlineStr"/>
    </row>
    <row r="189">
      <c r="A189" t="inlineStr">
        <is>
          <t>L_4_ROI</t>
        </is>
      </c>
      <c r="B189" t="n">
        <v>-0.08</v>
      </c>
      <c r="C189" t="n">
        <v>1148</v>
      </c>
      <c r="D189">
        <f> 0.937</f>
        <v/>
      </c>
      <c r="E189" t="n">
        <v>-0</v>
      </c>
      <c r="F189" t="inlineStr">
        <is>
          <t>[-0.13, 0.12]</t>
        </is>
      </c>
      <c r="G189">
        <f> 0.997</f>
        <v/>
      </c>
      <c r="H189" t="inlineStr"/>
    </row>
    <row r="190">
      <c r="A190" t="inlineStr">
        <is>
          <t>L_3b_ROI</t>
        </is>
      </c>
      <c r="B190" t="n">
        <v>-1.69</v>
      </c>
      <c r="C190" t="n">
        <v>1148</v>
      </c>
      <c r="D190">
        <f> 0.092</f>
        <v/>
      </c>
      <c r="E190" t="n">
        <v>-0.1</v>
      </c>
      <c r="F190" t="inlineStr">
        <is>
          <t>[-0.23, 0.02]</t>
        </is>
      </c>
      <c r="G190">
        <f> 0.997</f>
        <v/>
      </c>
      <c r="H190" t="inlineStr"/>
    </row>
    <row r="191">
      <c r="A191" t="inlineStr">
        <is>
          <t>L_FEF_ROI</t>
        </is>
      </c>
      <c r="B191" t="n">
        <v>0.37</v>
      </c>
      <c r="C191" t="n">
        <v>1148</v>
      </c>
      <c r="D191">
        <f> 0.714</f>
        <v/>
      </c>
      <c r="E191" t="n">
        <v>0.02</v>
      </c>
      <c r="F191" t="inlineStr">
        <is>
          <t>[-0.10, 0.14]</t>
        </is>
      </c>
      <c r="G191">
        <f> 0.997</f>
        <v/>
      </c>
      <c r="H191" t="inlineStr"/>
    </row>
    <row r="192">
      <c r="A192" t="inlineStr">
        <is>
          <t>L_PEF_ROI</t>
        </is>
      </c>
      <c r="B192" t="n">
        <v>-0.44</v>
      </c>
      <c r="C192" t="n">
        <v>1148</v>
      </c>
      <c r="D192">
        <f> 0.659</f>
        <v/>
      </c>
      <c r="E192" t="n">
        <v>-0.03</v>
      </c>
      <c r="F192" t="inlineStr">
        <is>
          <t>[-0.15, 0.09]</t>
        </is>
      </c>
      <c r="G192">
        <f> 0.997</f>
        <v/>
      </c>
      <c r="H192" t="inlineStr"/>
    </row>
    <row r="193">
      <c r="A193" t="inlineStr">
        <is>
          <t>L_55b_ROI</t>
        </is>
      </c>
      <c r="B193" t="n">
        <v>0.2</v>
      </c>
      <c r="C193" t="n">
        <v>1148</v>
      </c>
      <c r="D193">
        <f> 0.840</f>
        <v/>
      </c>
      <c r="E193" t="n">
        <v>0.01</v>
      </c>
      <c r="F193" t="inlineStr">
        <is>
          <t>[-0.11, 0.13]</t>
        </is>
      </c>
      <c r="G193">
        <f> 0.997</f>
        <v/>
      </c>
      <c r="H193" t="inlineStr"/>
    </row>
    <row r="194">
      <c r="A194" t="inlineStr">
        <is>
          <t>L_V3A_ROI</t>
        </is>
      </c>
      <c r="B194" t="n">
        <v>-0.77</v>
      </c>
      <c r="C194" t="n">
        <v>1148</v>
      </c>
      <c r="D194">
        <f> 0.442</f>
        <v/>
      </c>
      <c r="E194" t="n">
        <v>-0.05</v>
      </c>
      <c r="F194" t="inlineStr">
        <is>
          <t>[-0.17, 0.07]</t>
        </is>
      </c>
      <c r="G194">
        <f> 0.997</f>
        <v/>
      </c>
      <c r="H194" t="inlineStr"/>
    </row>
    <row r="195">
      <c r="A195" t="inlineStr">
        <is>
          <t>L_RSC_ROI</t>
        </is>
      </c>
      <c r="B195" t="n">
        <v>0.28</v>
      </c>
      <c r="C195" t="n">
        <v>1148</v>
      </c>
      <c r="D195">
        <f> 0.782</f>
        <v/>
      </c>
      <c r="E195" t="n">
        <v>0.02</v>
      </c>
      <c r="F195" t="inlineStr">
        <is>
          <t>[-0.10, 0.14]</t>
        </is>
      </c>
      <c r="G195">
        <f> 0.997</f>
        <v/>
      </c>
      <c r="H195" t="inlineStr"/>
    </row>
    <row r="196">
      <c r="A196" t="inlineStr">
        <is>
          <t>L_POS2_ROI</t>
        </is>
      </c>
      <c r="B196" t="n">
        <v>-0.78</v>
      </c>
      <c r="C196" t="n">
        <v>1148</v>
      </c>
      <c r="D196">
        <f> 0.437</f>
        <v/>
      </c>
      <c r="E196" t="n">
        <v>-0.05</v>
      </c>
      <c r="F196" t="inlineStr">
        <is>
          <t>[-0.17, 0.07]</t>
        </is>
      </c>
      <c r="G196">
        <f> 0.997</f>
        <v/>
      </c>
      <c r="H196" t="inlineStr"/>
    </row>
    <row r="197">
      <c r="A197" t="inlineStr">
        <is>
          <t>L_V7_ROI</t>
        </is>
      </c>
      <c r="B197" t="n">
        <v>0.29</v>
      </c>
      <c r="C197" t="n">
        <v>1148</v>
      </c>
      <c r="D197">
        <f> 0.770</f>
        <v/>
      </c>
      <c r="E197" t="n">
        <v>0.02</v>
      </c>
      <c r="F197" t="inlineStr">
        <is>
          <t>[-0.10, 0.14]</t>
        </is>
      </c>
      <c r="G197">
        <f> 0.997</f>
        <v/>
      </c>
      <c r="H197" t="inlineStr"/>
    </row>
    <row r="198">
      <c r="A198" t="inlineStr">
        <is>
          <t>L_IPS1_ROI</t>
        </is>
      </c>
      <c r="B198" t="n">
        <v>-0.31</v>
      </c>
      <c r="C198" t="n">
        <v>1148</v>
      </c>
      <c r="D198">
        <f> 0.758</f>
        <v/>
      </c>
      <c r="E198" t="n">
        <v>-0.02</v>
      </c>
      <c r="F198" t="inlineStr">
        <is>
          <t>[-0.14, 0.10]</t>
        </is>
      </c>
      <c r="G198">
        <f> 0.997</f>
        <v/>
      </c>
      <c r="H198" t="inlineStr"/>
    </row>
    <row r="199">
      <c r="A199" t="inlineStr">
        <is>
          <t>L_FFC_ROI</t>
        </is>
      </c>
      <c r="B199" t="n">
        <v>0.98</v>
      </c>
      <c r="C199" t="n">
        <v>1148</v>
      </c>
      <c r="D199">
        <f> 0.328</f>
        <v/>
      </c>
      <c r="E199" t="n">
        <v>0.06</v>
      </c>
      <c r="F199" t="inlineStr">
        <is>
          <t>[-0.06, 0.18]</t>
        </is>
      </c>
      <c r="G199">
        <f> 0.997</f>
        <v/>
      </c>
      <c r="H199" t="inlineStr"/>
    </row>
    <row r="200">
      <c r="A200" t="inlineStr">
        <is>
          <t>L_V3B_ROI</t>
        </is>
      </c>
      <c r="B200" t="n">
        <v>-0.6899999999999999</v>
      </c>
      <c r="C200" t="n">
        <v>1148</v>
      </c>
      <c r="D200">
        <f> 0.490</f>
        <v/>
      </c>
      <c r="E200" t="n">
        <v>-0.04</v>
      </c>
      <c r="F200" t="inlineStr">
        <is>
          <t>[-0.17, 0.08]</t>
        </is>
      </c>
      <c r="G200">
        <f> 0.997</f>
        <v/>
      </c>
      <c r="H200" t="inlineStr"/>
    </row>
    <row r="201">
      <c r="A201" t="inlineStr">
        <is>
          <t>L_LO1_ROI</t>
        </is>
      </c>
      <c r="B201" t="n">
        <v>0.6</v>
      </c>
      <c r="C201" t="n">
        <v>1148</v>
      </c>
      <c r="D201">
        <f> 0.545</f>
        <v/>
      </c>
      <c r="E201" t="n">
        <v>0.04</v>
      </c>
      <c r="F201" t="inlineStr">
        <is>
          <t>[-0.08, 0.16]</t>
        </is>
      </c>
      <c r="G201">
        <f> 0.997</f>
        <v/>
      </c>
      <c r="H201" t="inlineStr"/>
    </row>
    <row r="202">
      <c r="A202" t="inlineStr">
        <is>
          <t>L_LO2_ROI</t>
        </is>
      </c>
      <c r="B202" t="n">
        <v>0.11</v>
      </c>
      <c r="C202" t="n">
        <v>1148</v>
      </c>
      <c r="D202">
        <f> 0.913</f>
        <v/>
      </c>
      <c r="E202" t="n">
        <v>0.01</v>
      </c>
      <c r="F202" t="inlineStr">
        <is>
          <t>[-0.12, 0.13]</t>
        </is>
      </c>
      <c r="G202">
        <f> 0.997</f>
        <v/>
      </c>
      <c r="H202" t="inlineStr"/>
    </row>
    <row r="203">
      <c r="A203" t="inlineStr">
        <is>
          <t>L_PIT_ROI</t>
        </is>
      </c>
      <c r="B203" t="n">
        <v>-0.12</v>
      </c>
      <c r="C203" t="n">
        <v>1148</v>
      </c>
      <c r="D203">
        <f> 0.902</f>
        <v/>
      </c>
      <c r="E203" t="n">
        <v>-0.01</v>
      </c>
      <c r="F203" t="inlineStr">
        <is>
          <t>[-0.13, 0.11]</t>
        </is>
      </c>
      <c r="G203">
        <f> 0.997</f>
        <v/>
      </c>
      <c r="H203" t="inlineStr"/>
    </row>
    <row r="204">
      <c r="A204" t="inlineStr">
        <is>
          <t>L_MT_ROI</t>
        </is>
      </c>
      <c r="B204" t="n">
        <v>-1.55</v>
      </c>
      <c r="C204" t="n">
        <v>1148</v>
      </c>
      <c r="D204">
        <f> 0.121</f>
        <v/>
      </c>
      <c r="E204" t="n">
        <v>-0.1</v>
      </c>
      <c r="F204" t="inlineStr">
        <is>
          <t>[-0.22, 0.02]</t>
        </is>
      </c>
      <c r="G204">
        <f> 0.997</f>
        <v/>
      </c>
      <c r="H204" t="inlineStr"/>
    </row>
    <row r="205">
      <c r="A205" t="inlineStr">
        <is>
          <t>L_A1_ROI</t>
        </is>
      </c>
      <c r="B205" t="n">
        <v>0.44</v>
      </c>
      <c r="C205" t="n">
        <v>1148</v>
      </c>
      <c r="D205">
        <f> 0.657</f>
        <v/>
      </c>
      <c r="E205" t="n">
        <v>0.03</v>
      </c>
      <c r="F205" t="inlineStr">
        <is>
          <t>[-0.09, 0.15]</t>
        </is>
      </c>
      <c r="G205">
        <f> 0.997</f>
        <v/>
      </c>
      <c r="H205" t="inlineStr"/>
    </row>
    <row r="206">
      <c r="A206" t="inlineStr">
        <is>
          <t>L_PSL_ROI</t>
        </is>
      </c>
      <c r="B206" t="n">
        <v>0.17</v>
      </c>
      <c r="C206" t="n">
        <v>1148</v>
      </c>
      <c r="D206">
        <f> 0.862</f>
        <v/>
      </c>
      <c r="E206" t="n">
        <v>0.01</v>
      </c>
      <c r="F206" t="inlineStr">
        <is>
          <t>[-0.11, 0.13]</t>
        </is>
      </c>
      <c r="G206">
        <f> 0.997</f>
        <v/>
      </c>
      <c r="H206" t="inlineStr"/>
    </row>
    <row r="207">
      <c r="A207" t="inlineStr">
        <is>
          <t>L_SFL_ROI</t>
        </is>
      </c>
      <c r="B207" t="n">
        <v>-0.26</v>
      </c>
      <c r="C207" t="n">
        <v>1148</v>
      </c>
      <c r="D207">
        <f> 0.793</f>
        <v/>
      </c>
      <c r="E207" t="n">
        <v>-0.02</v>
      </c>
      <c r="F207" t="inlineStr">
        <is>
          <t>[-0.14, 0.11]</t>
        </is>
      </c>
      <c r="G207">
        <f> 0.997</f>
        <v/>
      </c>
      <c r="H207" t="inlineStr"/>
    </row>
    <row r="208">
      <c r="A208" t="inlineStr">
        <is>
          <t>L_PCV_ROI</t>
        </is>
      </c>
      <c r="B208" t="n">
        <v>-1.88</v>
      </c>
      <c r="C208" t="n">
        <v>1148</v>
      </c>
      <c r="D208">
        <f> 0.061</f>
        <v/>
      </c>
      <c r="E208" t="n">
        <v>-0.12</v>
      </c>
      <c r="F208" t="inlineStr">
        <is>
          <t>[-0.24, 0.01]</t>
        </is>
      </c>
      <c r="G208">
        <f> 0.997</f>
        <v/>
      </c>
      <c r="H208" t="inlineStr"/>
    </row>
    <row r="209">
      <c r="A209" t="inlineStr">
        <is>
          <t>L_STV_ROI</t>
        </is>
      </c>
      <c r="B209" t="n">
        <v>-0.19</v>
      </c>
      <c r="C209" t="n">
        <v>1148</v>
      </c>
      <c r="D209">
        <f> 0.846</f>
        <v/>
      </c>
      <c r="E209" t="n">
        <v>-0.01</v>
      </c>
      <c r="F209" t="inlineStr">
        <is>
          <t>[-0.13, 0.11]</t>
        </is>
      </c>
      <c r="G209">
        <f> 0.997</f>
        <v/>
      </c>
      <c r="H209" t="inlineStr"/>
    </row>
    <row r="210">
      <c r="A210" t="inlineStr">
        <is>
          <t>L_7Pm_ROI</t>
        </is>
      </c>
      <c r="B210" t="n">
        <v>-1.89</v>
      </c>
      <c r="C210" t="n">
        <v>1148</v>
      </c>
      <c r="D210">
        <f> 0.059</f>
        <v/>
      </c>
      <c r="E210" t="n">
        <v>-0.12</v>
      </c>
      <c r="F210" t="inlineStr">
        <is>
          <t>[-0.24, 0.00]</t>
        </is>
      </c>
      <c r="G210">
        <f> 0.997</f>
        <v/>
      </c>
      <c r="H210" t="inlineStr"/>
    </row>
    <row r="211">
      <c r="A211" t="inlineStr">
        <is>
          <t>L_7m_ROI</t>
        </is>
      </c>
      <c r="B211" t="n">
        <v>-0.92</v>
      </c>
      <c r="C211" t="n">
        <v>1148</v>
      </c>
      <c r="D211">
        <f> 0.358</f>
        <v/>
      </c>
      <c r="E211" t="n">
        <v>-0.06</v>
      </c>
      <c r="F211" t="inlineStr">
        <is>
          <t>[-0.18, 0.06]</t>
        </is>
      </c>
      <c r="G211">
        <f> 0.997</f>
        <v/>
      </c>
      <c r="H211" t="inlineStr"/>
    </row>
    <row r="212">
      <c r="A212" t="inlineStr">
        <is>
          <t>L_POS1_ROI</t>
        </is>
      </c>
      <c r="B212" t="n">
        <v>0.07000000000000001</v>
      </c>
      <c r="C212" t="n">
        <v>1148</v>
      </c>
      <c r="D212">
        <f> 0.942</f>
        <v/>
      </c>
      <c r="E212" t="n">
        <v>0</v>
      </c>
      <c r="F212" t="inlineStr">
        <is>
          <t>[-0.12, 0.13]</t>
        </is>
      </c>
      <c r="G212">
        <f> 0.997</f>
        <v/>
      </c>
      <c r="H212" t="inlineStr"/>
    </row>
    <row r="213">
      <c r="A213" t="inlineStr">
        <is>
          <t>L_23d_ROI</t>
        </is>
      </c>
      <c r="B213" t="n">
        <v>0.19</v>
      </c>
      <c r="C213" t="n">
        <v>1148</v>
      </c>
      <c r="D213">
        <f> 0.846</f>
        <v/>
      </c>
      <c r="E213" t="n">
        <v>0.01</v>
      </c>
      <c r="F213" t="inlineStr">
        <is>
          <t>[-0.11, 0.13]</t>
        </is>
      </c>
      <c r="G213">
        <f> 0.997</f>
        <v/>
      </c>
      <c r="H213" t="inlineStr"/>
    </row>
    <row r="214">
      <c r="A214" t="inlineStr">
        <is>
          <t>L_v23ab_ROI</t>
        </is>
      </c>
      <c r="B214" t="n">
        <v>-1.55</v>
      </c>
      <c r="C214" t="n">
        <v>1148</v>
      </c>
      <c r="D214">
        <f> 0.122</f>
        <v/>
      </c>
      <c r="E214" t="n">
        <v>-0.1</v>
      </c>
      <c r="F214" t="inlineStr">
        <is>
          <t>[-0.22, 0.03]</t>
        </is>
      </c>
      <c r="G214">
        <f> 0.997</f>
        <v/>
      </c>
      <c r="H214" t="inlineStr"/>
    </row>
    <row r="215">
      <c r="A215" t="inlineStr">
        <is>
          <t>L_d23ab_ROI</t>
        </is>
      </c>
      <c r="B215" t="n">
        <v>-0.84</v>
      </c>
      <c r="C215" t="n">
        <v>1148</v>
      </c>
      <c r="D215">
        <f> 0.402</f>
        <v/>
      </c>
      <c r="E215" t="n">
        <v>-0.05</v>
      </c>
      <c r="F215" t="inlineStr">
        <is>
          <t>[-0.17, 0.07]</t>
        </is>
      </c>
      <c r="G215">
        <f> 0.997</f>
        <v/>
      </c>
      <c r="H215" t="inlineStr"/>
    </row>
    <row r="216">
      <c r="A216" t="inlineStr">
        <is>
          <t>L_31pv_ROI</t>
        </is>
      </c>
      <c r="B216" t="n">
        <v>-0.11</v>
      </c>
      <c r="C216" t="n">
        <v>1148</v>
      </c>
      <c r="D216">
        <f> 0.914</f>
        <v/>
      </c>
      <c r="E216" t="n">
        <v>-0.01</v>
      </c>
      <c r="F216" t="inlineStr">
        <is>
          <t>[-0.13, 0.12]</t>
        </is>
      </c>
      <c r="G216">
        <f> 0.997</f>
        <v/>
      </c>
      <c r="H216" t="inlineStr"/>
    </row>
    <row r="217">
      <c r="A217" t="inlineStr">
        <is>
          <t>L_5m_ROI</t>
        </is>
      </c>
      <c r="B217" t="n">
        <v>-1.53</v>
      </c>
      <c r="C217" t="n">
        <v>1148</v>
      </c>
      <c r="D217">
        <f> 0.126</f>
        <v/>
      </c>
      <c r="E217" t="n">
        <v>-0.1</v>
      </c>
      <c r="F217" t="inlineStr">
        <is>
          <t>[-0.22, 0.03]</t>
        </is>
      </c>
      <c r="G217">
        <f> 0.997</f>
        <v/>
      </c>
      <c r="H217" t="inlineStr"/>
    </row>
    <row r="218">
      <c r="A218" t="inlineStr">
        <is>
          <t>L_5mv_ROI</t>
        </is>
      </c>
      <c r="B218" t="n">
        <v>-1.9</v>
      </c>
      <c r="C218" t="n">
        <v>1148</v>
      </c>
      <c r="D218">
        <f> 0.058</f>
        <v/>
      </c>
      <c r="E218" t="n">
        <v>-0.12</v>
      </c>
      <c r="F218" t="inlineStr">
        <is>
          <t>[-0.24, 0.00]</t>
        </is>
      </c>
      <c r="G218">
        <f> 0.997</f>
        <v/>
      </c>
      <c r="H218" t="inlineStr"/>
    </row>
    <row r="219">
      <c r="A219" t="inlineStr">
        <is>
          <t>L_23c_ROI</t>
        </is>
      </c>
      <c r="B219" t="n">
        <v>-0.22</v>
      </c>
      <c r="C219" t="n">
        <v>1148</v>
      </c>
      <c r="D219">
        <f> 0.824</f>
        <v/>
      </c>
      <c r="E219" t="n">
        <v>-0.01</v>
      </c>
      <c r="F219" t="inlineStr">
        <is>
          <t>[-0.14, 0.11]</t>
        </is>
      </c>
      <c r="G219">
        <f> 0.997</f>
        <v/>
      </c>
      <c r="H219" t="inlineStr"/>
    </row>
    <row r="220">
      <c r="A220" t="inlineStr">
        <is>
          <t>L_5L_ROI</t>
        </is>
      </c>
      <c r="B220" t="n">
        <v>-1.41</v>
      </c>
      <c r="C220" t="n">
        <v>1148</v>
      </c>
      <c r="D220">
        <f> 0.159</f>
        <v/>
      </c>
      <c r="E220" t="n">
        <v>-0.09</v>
      </c>
      <c r="F220" t="inlineStr">
        <is>
          <t>[-0.21, 0.03]</t>
        </is>
      </c>
      <c r="G220">
        <f> 0.997</f>
        <v/>
      </c>
      <c r="H220" t="inlineStr"/>
    </row>
    <row r="221">
      <c r="A221" t="inlineStr">
        <is>
          <t>L_24dd_ROI</t>
        </is>
      </c>
      <c r="B221" t="n">
        <v>-0.26</v>
      </c>
      <c r="C221" t="n">
        <v>1148</v>
      </c>
      <c r="D221">
        <f> 0.794</f>
        <v/>
      </c>
      <c r="E221" t="n">
        <v>-0.02</v>
      </c>
      <c r="F221" t="inlineStr">
        <is>
          <t>[-0.14, 0.11]</t>
        </is>
      </c>
      <c r="G221">
        <f> 0.997</f>
        <v/>
      </c>
      <c r="H221" t="inlineStr"/>
    </row>
    <row r="222">
      <c r="A222" t="inlineStr">
        <is>
          <t>L_24dv_ROI</t>
        </is>
      </c>
      <c r="B222" t="n">
        <v>0.61</v>
      </c>
      <c r="C222" t="n">
        <v>1148</v>
      </c>
      <c r="D222">
        <f> 0.544</f>
        <v/>
      </c>
      <c r="E222" t="n">
        <v>0.04</v>
      </c>
      <c r="F222" t="inlineStr">
        <is>
          <t>[-0.08, 0.16]</t>
        </is>
      </c>
      <c r="G222">
        <f> 0.997</f>
        <v/>
      </c>
      <c r="H222" t="inlineStr"/>
    </row>
    <row r="223">
      <c r="A223" t="inlineStr">
        <is>
          <t>L_7AL_ROI</t>
        </is>
      </c>
      <c r="B223" t="n">
        <v>-0.44</v>
      </c>
      <c r="C223" t="n">
        <v>1148</v>
      </c>
      <c r="D223">
        <f> 0.662</f>
        <v/>
      </c>
      <c r="E223" t="n">
        <v>-0.03</v>
      </c>
      <c r="F223" t="inlineStr">
        <is>
          <t>[-0.15, 0.09]</t>
        </is>
      </c>
      <c r="G223">
        <f> 0.997</f>
        <v/>
      </c>
      <c r="H223" t="inlineStr"/>
    </row>
    <row r="224">
      <c r="A224" t="inlineStr">
        <is>
          <t>L_SCEF_ROI</t>
        </is>
      </c>
      <c r="B224" t="n">
        <v>-0.13</v>
      </c>
      <c r="C224" t="n">
        <v>1148</v>
      </c>
      <c r="D224">
        <f> 0.896</f>
        <v/>
      </c>
      <c r="E224" t="n">
        <v>-0.01</v>
      </c>
      <c r="F224" t="inlineStr">
        <is>
          <t>[-0.13, 0.11]</t>
        </is>
      </c>
      <c r="G224">
        <f> 0.997</f>
        <v/>
      </c>
      <c r="H224" t="inlineStr"/>
    </row>
    <row r="225">
      <c r="A225" t="inlineStr">
        <is>
          <t>L_6ma_ROI</t>
        </is>
      </c>
      <c r="B225" t="n">
        <v>-0.46</v>
      </c>
      <c r="C225" t="n">
        <v>1148</v>
      </c>
      <c r="D225">
        <f> 0.642</f>
        <v/>
      </c>
      <c r="E225" t="n">
        <v>-0.03</v>
      </c>
      <c r="F225" t="inlineStr">
        <is>
          <t>[-0.15, 0.09]</t>
        </is>
      </c>
      <c r="G225">
        <f> 0.997</f>
        <v/>
      </c>
      <c r="H225" t="inlineStr"/>
    </row>
    <row r="226">
      <c r="A226" t="inlineStr">
        <is>
          <t>L_7Am_ROI</t>
        </is>
      </c>
      <c r="B226" t="n">
        <v>-1.33</v>
      </c>
      <c r="C226" t="n">
        <v>1148</v>
      </c>
      <c r="D226">
        <f> 0.185</f>
        <v/>
      </c>
      <c r="E226" t="n">
        <v>-0.08</v>
      </c>
      <c r="F226" t="inlineStr">
        <is>
          <t>[-0.21, 0.04]</t>
        </is>
      </c>
      <c r="G226">
        <f> 0.997</f>
        <v/>
      </c>
      <c r="H226" t="inlineStr"/>
    </row>
    <row r="227">
      <c r="A227" t="inlineStr">
        <is>
          <t>L_7PL_ROI</t>
        </is>
      </c>
      <c r="B227" t="n">
        <v>-0.16</v>
      </c>
      <c r="C227" t="n">
        <v>1148</v>
      </c>
      <c r="D227">
        <f> 0.876</f>
        <v/>
      </c>
      <c r="E227" t="n">
        <v>-0.01</v>
      </c>
      <c r="F227" t="inlineStr">
        <is>
          <t>[-0.13, 0.11]</t>
        </is>
      </c>
      <c r="G227">
        <f> 0.997</f>
        <v/>
      </c>
      <c r="H227" t="inlineStr"/>
    </row>
    <row r="228">
      <c r="A228" t="inlineStr">
        <is>
          <t>L_7PC_ROI</t>
        </is>
      </c>
      <c r="B228" t="n">
        <v>-0.72</v>
      </c>
      <c r="C228" t="n">
        <v>1148</v>
      </c>
      <c r="D228">
        <f> 0.475</f>
        <v/>
      </c>
      <c r="E228" t="n">
        <v>-0.04</v>
      </c>
      <c r="F228" t="inlineStr">
        <is>
          <t>[-0.17, 0.08]</t>
        </is>
      </c>
      <c r="G228">
        <f> 0.997</f>
        <v/>
      </c>
      <c r="H228" t="inlineStr"/>
    </row>
    <row r="229">
      <c r="A229" t="inlineStr">
        <is>
          <t>L_LIPv_ROI</t>
        </is>
      </c>
      <c r="B229" t="n">
        <v>-1.12</v>
      </c>
      <c r="C229" t="n">
        <v>1148</v>
      </c>
      <c r="D229">
        <f> 0.262</f>
        <v/>
      </c>
      <c r="E229" t="n">
        <v>-0.07000000000000001</v>
      </c>
      <c r="F229" t="inlineStr">
        <is>
          <t>[-0.19, 0.05]</t>
        </is>
      </c>
      <c r="G229">
        <f> 0.997</f>
        <v/>
      </c>
      <c r="H229" t="inlineStr"/>
    </row>
    <row r="230">
      <c r="A230" t="inlineStr">
        <is>
          <t>L_VIP_ROI</t>
        </is>
      </c>
      <c r="B230" t="n">
        <v>-3.02</v>
      </c>
      <c r="C230" t="n">
        <v>1148</v>
      </c>
      <c r="D230">
        <f> 0.003</f>
        <v/>
      </c>
      <c r="E230" t="n">
        <v>-0.18</v>
      </c>
      <c r="F230" t="inlineStr">
        <is>
          <t>[-0.31, -0.06]</t>
        </is>
      </c>
      <c r="G230">
        <f> 0.928</f>
        <v/>
      </c>
      <c r="H230" t="inlineStr"/>
    </row>
    <row r="231">
      <c r="A231" t="inlineStr">
        <is>
          <t>L_MIP_ROI</t>
        </is>
      </c>
      <c r="B231" t="n">
        <v>-0.95</v>
      </c>
      <c r="C231" t="n">
        <v>1148</v>
      </c>
      <c r="D231">
        <f> 0.342</f>
        <v/>
      </c>
      <c r="E231" t="n">
        <v>-0.06</v>
      </c>
      <c r="F231" t="inlineStr">
        <is>
          <t>[-0.18, 0.06]</t>
        </is>
      </c>
      <c r="G231">
        <f> 0.997</f>
        <v/>
      </c>
      <c r="H231" t="inlineStr"/>
    </row>
    <row r="232">
      <c r="A232" t="inlineStr">
        <is>
          <t>L_1_ROI</t>
        </is>
      </c>
      <c r="B232" t="n">
        <v>-0</v>
      </c>
      <c r="C232" t="n">
        <v>1148</v>
      </c>
      <c r="D232">
        <f> 0.997</f>
        <v/>
      </c>
      <c r="E232" t="n">
        <v>-0</v>
      </c>
      <c r="F232" t="inlineStr">
        <is>
          <t>[-0.12, 0.12]</t>
        </is>
      </c>
      <c r="G232">
        <f> 0.997</f>
        <v/>
      </c>
      <c r="H232" t="inlineStr"/>
    </row>
    <row r="233">
      <c r="A233" t="inlineStr">
        <is>
          <t>L_2_ROI</t>
        </is>
      </c>
      <c r="B233" t="n">
        <v>-0.58</v>
      </c>
      <c r="C233" t="n">
        <v>1148</v>
      </c>
      <c r="D233">
        <f> 0.561</f>
        <v/>
      </c>
      <c r="E233" t="n">
        <v>-0.04</v>
      </c>
      <c r="F233" t="inlineStr">
        <is>
          <t>[-0.16, 0.09]</t>
        </is>
      </c>
      <c r="G233">
        <f> 0.997</f>
        <v/>
      </c>
      <c r="H233" t="inlineStr"/>
    </row>
    <row r="234">
      <c r="A234" t="inlineStr">
        <is>
          <t>L_3a_ROI</t>
        </is>
      </c>
      <c r="B234" t="n">
        <v>-1.79</v>
      </c>
      <c r="C234" t="n">
        <v>1148</v>
      </c>
      <c r="D234">
        <f> 0.074</f>
        <v/>
      </c>
      <c r="E234" t="n">
        <v>-0.11</v>
      </c>
      <c r="F234" t="inlineStr">
        <is>
          <t>[-0.23, 0.01]</t>
        </is>
      </c>
      <c r="G234">
        <f> 0.997</f>
        <v/>
      </c>
      <c r="H234" t="inlineStr"/>
    </row>
    <row r="235">
      <c r="A235" t="inlineStr">
        <is>
          <t>L_6d_ROI</t>
        </is>
      </c>
      <c r="B235" t="n">
        <v>-0.18</v>
      </c>
      <c r="C235" t="n">
        <v>1148</v>
      </c>
      <c r="D235">
        <f> 0.861</f>
        <v/>
      </c>
      <c r="E235" t="n">
        <v>-0.01</v>
      </c>
      <c r="F235" t="inlineStr">
        <is>
          <t>[-0.13, 0.11]</t>
        </is>
      </c>
      <c r="G235">
        <f> 0.997</f>
        <v/>
      </c>
      <c r="H235" t="inlineStr"/>
    </row>
    <row r="236">
      <c r="A236" t="inlineStr">
        <is>
          <t>L_6mp_ROI</t>
        </is>
      </c>
      <c r="B236" t="n">
        <v>-0.6</v>
      </c>
      <c r="C236" t="n">
        <v>1148</v>
      </c>
      <c r="D236">
        <f> 0.551</f>
        <v/>
      </c>
      <c r="E236" t="n">
        <v>-0.04</v>
      </c>
      <c r="F236" t="inlineStr">
        <is>
          <t>[-0.16, 0.08]</t>
        </is>
      </c>
      <c r="G236">
        <f> 0.997</f>
        <v/>
      </c>
      <c r="H236" t="inlineStr"/>
    </row>
    <row r="237">
      <c r="A237" t="inlineStr">
        <is>
          <t>L_6v_ROI</t>
        </is>
      </c>
      <c r="B237" t="n">
        <v>-0.16</v>
      </c>
      <c r="C237" t="n">
        <v>1148</v>
      </c>
      <c r="D237">
        <f> 0.872</f>
        <v/>
      </c>
      <c r="E237" t="n">
        <v>-0.01</v>
      </c>
      <c r="F237" t="inlineStr">
        <is>
          <t>[-0.13, 0.11]</t>
        </is>
      </c>
      <c r="G237">
        <f> 0.997</f>
        <v/>
      </c>
      <c r="H237" t="inlineStr"/>
    </row>
    <row r="238">
      <c r="A238" t="inlineStr">
        <is>
          <t>L_p24pr_ROI</t>
        </is>
      </c>
      <c r="B238" t="n">
        <v>0.44</v>
      </c>
      <c r="C238" t="n">
        <v>1148</v>
      </c>
      <c r="D238">
        <f> 0.663</f>
        <v/>
      </c>
      <c r="E238" t="n">
        <v>0.03</v>
      </c>
      <c r="F238" t="inlineStr">
        <is>
          <t>[-0.09, 0.15]</t>
        </is>
      </c>
      <c r="G238">
        <f> 0.997</f>
        <v/>
      </c>
      <c r="H238" t="inlineStr"/>
    </row>
    <row r="239">
      <c r="A239" t="inlineStr">
        <is>
          <t>L_33pr_ROI</t>
        </is>
      </c>
      <c r="B239" t="n">
        <v>-0.61</v>
      </c>
      <c r="C239" t="n">
        <v>1148</v>
      </c>
      <c r="D239">
        <f> 0.539</f>
        <v/>
      </c>
      <c r="E239" t="n">
        <v>-0.04</v>
      </c>
      <c r="F239" t="inlineStr">
        <is>
          <t>[-0.16, 0.08]</t>
        </is>
      </c>
      <c r="G239">
        <f> 0.997</f>
        <v/>
      </c>
      <c r="H239" t="inlineStr"/>
    </row>
    <row r="240">
      <c r="A240" t="inlineStr">
        <is>
          <t>L_a24pr_ROI</t>
        </is>
      </c>
      <c r="B240" t="n">
        <v>0.53</v>
      </c>
      <c r="C240" t="n">
        <v>1148</v>
      </c>
      <c r="D240">
        <f> 0.593</f>
        <v/>
      </c>
      <c r="E240" t="n">
        <v>0.03</v>
      </c>
      <c r="F240" t="inlineStr">
        <is>
          <t>[-0.09, 0.16]</t>
        </is>
      </c>
      <c r="G240">
        <f> 0.997</f>
        <v/>
      </c>
      <c r="H240" t="inlineStr"/>
    </row>
    <row r="241">
      <c r="A241" t="inlineStr">
        <is>
          <t>L_p32pr_ROI</t>
        </is>
      </c>
      <c r="B241" t="n">
        <v>0.95</v>
      </c>
      <c r="C241" t="n">
        <v>1148</v>
      </c>
      <c r="D241">
        <f> 0.344</f>
        <v/>
      </c>
      <c r="E241" t="n">
        <v>0.06</v>
      </c>
      <c r="F241" t="inlineStr">
        <is>
          <t>[-0.06, 0.18]</t>
        </is>
      </c>
      <c r="G241">
        <f> 0.997</f>
        <v/>
      </c>
      <c r="H241" t="inlineStr"/>
    </row>
    <row r="242">
      <c r="A242" t="inlineStr">
        <is>
          <t>L_a24_ROI</t>
        </is>
      </c>
      <c r="B242" t="n">
        <v>0.5</v>
      </c>
      <c r="C242" t="n">
        <v>1148</v>
      </c>
      <c r="D242">
        <f> 0.614</f>
        <v/>
      </c>
      <c r="E242" t="n">
        <v>0.03</v>
      </c>
      <c r="F242" t="inlineStr">
        <is>
          <t>[-0.09, 0.15]</t>
        </is>
      </c>
      <c r="G242">
        <f> 0.997</f>
        <v/>
      </c>
      <c r="H242" t="inlineStr"/>
    </row>
    <row r="243">
      <c r="A243" t="inlineStr">
        <is>
          <t>L_d32_ROI</t>
        </is>
      </c>
      <c r="B243" t="n">
        <v>0.75</v>
      </c>
      <c r="C243" t="n">
        <v>1148</v>
      </c>
      <c r="D243">
        <f> 0.452</f>
        <v/>
      </c>
      <c r="E243" t="n">
        <v>0.05</v>
      </c>
      <c r="F243" t="inlineStr">
        <is>
          <t>[-0.07, 0.17]</t>
        </is>
      </c>
      <c r="G243">
        <f> 0.997</f>
        <v/>
      </c>
      <c r="H243" t="inlineStr"/>
    </row>
    <row r="244">
      <c r="A244" t="inlineStr">
        <is>
          <t>L_8BM_ROI</t>
        </is>
      </c>
      <c r="B244" t="n">
        <v>0.93</v>
      </c>
      <c r="C244" t="n">
        <v>1148</v>
      </c>
      <c r="D244">
        <f> 0.352</f>
        <v/>
      </c>
      <c r="E244" t="n">
        <v>0.06</v>
      </c>
      <c r="F244" t="inlineStr">
        <is>
          <t>[-0.06, 0.18]</t>
        </is>
      </c>
      <c r="G244">
        <f> 0.997</f>
        <v/>
      </c>
      <c r="H244" t="inlineStr"/>
    </row>
    <row r="245">
      <c r="A245" t="inlineStr">
        <is>
          <t>L_p32_ROI</t>
        </is>
      </c>
      <c r="B245" t="n">
        <v>0.05</v>
      </c>
      <c r="C245" t="n">
        <v>1148</v>
      </c>
      <c r="D245">
        <f> 0.960</f>
        <v/>
      </c>
      <c r="E245" t="n">
        <v>0</v>
      </c>
      <c r="F245" t="inlineStr">
        <is>
          <t>[-0.12, 0.12]</t>
        </is>
      </c>
      <c r="G245">
        <f> 0.997</f>
        <v/>
      </c>
      <c r="H245" t="inlineStr"/>
    </row>
    <row r="246">
      <c r="A246" t="inlineStr">
        <is>
          <t>L_10r_ROI</t>
        </is>
      </c>
      <c r="B246" t="n">
        <v>-0.58</v>
      </c>
      <c r="C246" t="n">
        <v>1148</v>
      </c>
      <c r="D246">
        <f> 0.562</f>
        <v/>
      </c>
      <c r="E246" t="n">
        <v>-0.04</v>
      </c>
      <c r="F246" t="inlineStr">
        <is>
          <t>[-0.16, 0.08]</t>
        </is>
      </c>
      <c r="G246">
        <f> 0.997</f>
        <v/>
      </c>
      <c r="H246" t="inlineStr"/>
    </row>
    <row r="247">
      <c r="A247" t="inlineStr">
        <is>
          <t>L_47m_ROI</t>
        </is>
      </c>
      <c r="B247" t="n">
        <v>0.4</v>
      </c>
      <c r="C247" t="n">
        <v>1148</v>
      </c>
      <c r="D247">
        <f> 0.686</f>
        <v/>
      </c>
      <c r="E247" t="n">
        <v>0.03</v>
      </c>
      <c r="F247" t="inlineStr">
        <is>
          <t>[-0.10, 0.15]</t>
        </is>
      </c>
      <c r="G247">
        <f> 0.997</f>
        <v/>
      </c>
      <c r="H247" t="inlineStr"/>
    </row>
    <row r="248">
      <c r="A248" t="inlineStr">
        <is>
          <t>L_8Av_ROI</t>
        </is>
      </c>
      <c r="B248" t="n">
        <v>-0.99</v>
      </c>
      <c r="C248" t="n">
        <v>1148</v>
      </c>
      <c r="D248">
        <f> 0.323</f>
        <v/>
      </c>
      <c r="E248" t="n">
        <v>-0.06</v>
      </c>
      <c r="F248" t="inlineStr">
        <is>
          <t>[-0.18, 0.06]</t>
        </is>
      </c>
      <c r="G248">
        <f> 0.997</f>
        <v/>
      </c>
      <c r="H248" t="inlineStr"/>
    </row>
    <row r="249">
      <c r="A249" t="inlineStr">
        <is>
          <t>L_8Ad_ROI</t>
        </is>
      </c>
      <c r="B249" t="n">
        <v>-0.16</v>
      </c>
      <c r="C249" t="n">
        <v>1148</v>
      </c>
      <c r="D249">
        <f> 0.874</f>
        <v/>
      </c>
      <c r="E249" t="n">
        <v>-0.01</v>
      </c>
      <c r="F249" t="inlineStr">
        <is>
          <t>[-0.13, 0.11]</t>
        </is>
      </c>
      <c r="G249">
        <f> 0.997</f>
        <v/>
      </c>
      <c r="H249" t="inlineStr"/>
    </row>
    <row r="250">
      <c r="A250" t="inlineStr">
        <is>
          <t>L_9m_ROI</t>
        </is>
      </c>
      <c r="B250" t="n">
        <v>0.14</v>
      </c>
      <c r="C250" t="n">
        <v>1148</v>
      </c>
      <c r="D250">
        <f> 0.891</f>
        <v/>
      </c>
      <c r="E250" t="n">
        <v>0.01</v>
      </c>
      <c r="F250" t="inlineStr">
        <is>
          <t>[-0.11, 0.13]</t>
        </is>
      </c>
      <c r="G250">
        <f> 0.997</f>
        <v/>
      </c>
      <c r="H250" t="inlineStr"/>
    </row>
    <row r="251">
      <c r="A251" t="inlineStr">
        <is>
          <t>L_8BL_ROI</t>
        </is>
      </c>
      <c r="B251" t="n">
        <v>0.23</v>
      </c>
      <c r="C251" t="n">
        <v>1148</v>
      </c>
      <c r="D251">
        <f> 0.815</f>
        <v/>
      </c>
      <c r="E251" t="n">
        <v>0.01</v>
      </c>
      <c r="F251" t="inlineStr">
        <is>
          <t>[-0.11, 0.14]</t>
        </is>
      </c>
      <c r="G251">
        <f> 0.997</f>
        <v/>
      </c>
      <c r="H251" t="inlineStr"/>
    </row>
    <row r="252">
      <c r="A252" t="inlineStr">
        <is>
          <t>L_9p_ROI</t>
        </is>
      </c>
      <c r="B252" t="n">
        <v>-0.51</v>
      </c>
      <c r="C252" t="n">
        <v>1148</v>
      </c>
      <c r="D252">
        <f> 0.607</f>
        <v/>
      </c>
      <c r="E252" t="n">
        <v>-0.03</v>
      </c>
      <c r="F252" t="inlineStr">
        <is>
          <t>[-0.15, 0.09]</t>
        </is>
      </c>
      <c r="G252">
        <f> 0.997</f>
        <v/>
      </c>
      <c r="H252" t="inlineStr"/>
    </row>
    <row r="253">
      <c r="A253" t="inlineStr">
        <is>
          <t>L_10d_ROI</t>
        </is>
      </c>
      <c r="B253" t="n">
        <v>-0.38</v>
      </c>
      <c r="C253" t="n">
        <v>1148</v>
      </c>
      <c r="D253">
        <f> 0.702</f>
        <v/>
      </c>
      <c r="E253" t="n">
        <v>-0.02</v>
      </c>
      <c r="F253" t="inlineStr">
        <is>
          <t>[-0.15, 0.10]</t>
        </is>
      </c>
      <c r="G253">
        <f> 0.997</f>
        <v/>
      </c>
      <c r="H253" t="inlineStr"/>
    </row>
    <row r="254">
      <c r="A254" t="inlineStr">
        <is>
          <t>L_8C_ROI</t>
        </is>
      </c>
      <c r="B254" t="n">
        <v>-1.07</v>
      </c>
      <c r="C254" t="n">
        <v>1148</v>
      </c>
      <c r="D254">
        <f> 0.286</f>
        <v/>
      </c>
      <c r="E254" t="n">
        <v>-0.07000000000000001</v>
      </c>
      <c r="F254" t="inlineStr">
        <is>
          <t>[-0.19, 0.05]</t>
        </is>
      </c>
      <c r="G254">
        <f> 0.997</f>
        <v/>
      </c>
      <c r="H254" t="inlineStr"/>
    </row>
    <row r="255">
      <c r="A255" t="inlineStr">
        <is>
          <t>L_44_ROI</t>
        </is>
      </c>
      <c r="B255" t="n">
        <v>0.62</v>
      </c>
      <c r="C255" t="n">
        <v>1148</v>
      </c>
      <c r="D255">
        <f> 0.534</f>
        <v/>
      </c>
      <c r="E255" t="n">
        <v>0.04</v>
      </c>
      <c r="F255" t="inlineStr">
        <is>
          <t>[-0.08, 0.16]</t>
        </is>
      </c>
      <c r="G255">
        <f> 0.997</f>
        <v/>
      </c>
      <c r="H255" t="inlineStr"/>
    </row>
    <row r="256">
      <c r="A256" t="inlineStr">
        <is>
          <t>L_45_ROI</t>
        </is>
      </c>
      <c r="B256" t="n">
        <v>1.26</v>
      </c>
      <c r="C256" t="n">
        <v>1148</v>
      </c>
      <c r="D256">
        <f> 0.208</f>
        <v/>
      </c>
      <c r="E256" t="n">
        <v>0.08</v>
      </c>
      <c r="F256" t="inlineStr">
        <is>
          <t>[-0.04, 0.20]</t>
        </is>
      </c>
      <c r="G256">
        <f> 0.997</f>
        <v/>
      </c>
      <c r="H256" t="inlineStr"/>
    </row>
    <row r="257">
      <c r="A257" t="inlineStr">
        <is>
          <t>L_47l_ROI</t>
        </is>
      </c>
      <c r="B257" t="n">
        <v>1.1</v>
      </c>
      <c r="C257" t="n">
        <v>1148</v>
      </c>
      <c r="D257">
        <f> 0.270</f>
        <v/>
      </c>
      <c r="E257" t="n">
        <v>0.07000000000000001</v>
      </c>
      <c r="F257" t="inlineStr">
        <is>
          <t>[-0.05, 0.19]</t>
        </is>
      </c>
      <c r="G257">
        <f> 0.997</f>
        <v/>
      </c>
      <c r="H257" t="inlineStr"/>
    </row>
    <row r="258">
      <c r="A258" t="inlineStr">
        <is>
          <t>L_a47r_ROI</t>
        </is>
      </c>
      <c r="B258" t="n">
        <v>-0.06</v>
      </c>
      <c r="C258" t="n">
        <v>1148</v>
      </c>
      <c r="D258">
        <f> 0.952</f>
        <v/>
      </c>
      <c r="E258" t="n">
        <v>-0</v>
      </c>
      <c r="F258" t="inlineStr">
        <is>
          <t>[-0.13, 0.12]</t>
        </is>
      </c>
      <c r="G258">
        <f> 0.997</f>
        <v/>
      </c>
      <c r="H258" t="inlineStr"/>
    </row>
    <row r="259">
      <c r="A259" t="inlineStr">
        <is>
          <t>L_6r_ROI</t>
        </is>
      </c>
      <c r="B259" t="n">
        <v>-0.01</v>
      </c>
      <c r="C259" t="n">
        <v>1148</v>
      </c>
      <c r="D259">
        <f> 0.989</f>
        <v/>
      </c>
      <c r="E259" t="n">
        <v>-0</v>
      </c>
      <c r="F259" t="inlineStr">
        <is>
          <t>[-0.12, 0.12]</t>
        </is>
      </c>
      <c r="G259">
        <f> 0.997</f>
        <v/>
      </c>
      <c r="H259" t="inlineStr"/>
    </row>
    <row r="260">
      <c r="A260" t="inlineStr">
        <is>
          <t>L_IFJa_ROI</t>
        </is>
      </c>
      <c r="B260" t="n">
        <v>-0.16</v>
      </c>
      <c r="C260" t="n">
        <v>1148</v>
      </c>
      <c r="D260">
        <f> 0.874</f>
        <v/>
      </c>
      <c r="E260" t="n">
        <v>-0.01</v>
      </c>
      <c r="F260" t="inlineStr">
        <is>
          <t>[-0.13, 0.11]</t>
        </is>
      </c>
      <c r="G260">
        <f> 0.997</f>
        <v/>
      </c>
      <c r="H260" t="inlineStr"/>
    </row>
    <row r="261">
      <c r="A261" t="inlineStr">
        <is>
          <t>L_IFJp_ROI</t>
        </is>
      </c>
      <c r="B261" t="n">
        <v>0.02</v>
      </c>
      <c r="C261" t="n">
        <v>1148</v>
      </c>
      <c r="D261">
        <f> 0.982</f>
        <v/>
      </c>
      <c r="E261" t="n">
        <v>0</v>
      </c>
      <c r="F261" t="inlineStr">
        <is>
          <t>[-0.12, 0.12]</t>
        </is>
      </c>
      <c r="G261">
        <f> 0.997</f>
        <v/>
      </c>
      <c r="H261" t="inlineStr"/>
    </row>
    <row r="262">
      <c r="A262" t="inlineStr">
        <is>
          <t>L_IFSp_ROI</t>
        </is>
      </c>
      <c r="B262" t="n">
        <v>-0.51</v>
      </c>
      <c r="C262" t="n">
        <v>1148</v>
      </c>
      <c r="D262">
        <f> 0.612</f>
        <v/>
      </c>
      <c r="E262" t="n">
        <v>-0.03</v>
      </c>
      <c r="F262" t="inlineStr">
        <is>
          <t>[-0.15, 0.09]</t>
        </is>
      </c>
      <c r="G262">
        <f> 0.997</f>
        <v/>
      </c>
      <c r="H262" t="inlineStr"/>
    </row>
    <row r="263">
      <c r="A263" t="inlineStr">
        <is>
          <t>L_IFSa_ROI</t>
        </is>
      </c>
      <c r="B263" t="n">
        <v>0.67</v>
      </c>
      <c r="C263" t="n">
        <v>1148</v>
      </c>
      <c r="D263">
        <f> 0.503</f>
        <v/>
      </c>
      <c r="E263" t="n">
        <v>0.04</v>
      </c>
      <c r="F263" t="inlineStr">
        <is>
          <t>[-0.08, 0.16]</t>
        </is>
      </c>
      <c r="G263">
        <f> 0.997</f>
        <v/>
      </c>
      <c r="H263" t="inlineStr"/>
    </row>
    <row r="264">
      <c r="A264" t="inlineStr">
        <is>
          <t>L_p9_46v_ROI</t>
        </is>
      </c>
      <c r="B264" t="n">
        <v>-0.49</v>
      </c>
      <c r="C264" t="n">
        <v>1148</v>
      </c>
      <c r="D264">
        <f> 0.622</f>
        <v/>
      </c>
      <c r="E264" t="n">
        <v>-0.03</v>
      </c>
      <c r="F264" t="inlineStr">
        <is>
          <t>[-0.15, 0.09]</t>
        </is>
      </c>
      <c r="G264">
        <f> 0.997</f>
        <v/>
      </c>
      <c r="H264" t="inlineStr"/>
    </row>
    <row r="265">
      <c r="A265" t="inlineStr">
        <is>
          <t>L_46_ROI</t>
        </is>
      </c>
      <c r="B265" t="n">
        <v>-0.54</v>
      </c>
      <c r="C265" t="n">
        <v>1148</v>
      </c>
      <c r="D265">
        <f> 0.587</f>
        <v/>
      </c>
      <c r="E265" t="n">
        <v>-0.03</v>
      </c>
      <c r="F265" t="inlineStr">
        <is>
          <t>[-0.16, 0.09]</t>
        </is>
      </c>
      <c r="G265">
        <f> 0.997</f>
        <v/>
      </c>
      <c r="H265" t="inlineStr"/>
    </row>
    <row r="266">
      <c r="A266" t="inlineStr">
        <is>
          <t>L_a9_46v_ROI</t>
        </is>
      </c>
      <c r="B266" t="n">
        <v>0.52</v>
      </c>
      <c r="C266" t="n">
        <v>1148</v>
      </c>
      <c r="D266">
        <f> 0.603</f>
        <v/>
      </c>
      <c r="E266" t="n">
        <v>0.03</v>
      </c>
      <c r="F266" t="inlineStr">
        <is>
          <t>[-0.09, 0.15]</t>
        </is>
      </c>
      <c r="G266">
        <f> 0.997</f>
        <v/>
      </c>
      <c r="H266" t="inlineStr"/>
    </row>
    <row r="267">
      <c r="A267" t="inlineStr">
        <is>
          <t>L_9_46d_ROI</t>
        </is>
      </c>
      <c r="B267" t="n">
        <v>-0.64</v>
      </c>
      <c r="C267" t="n">
        <v>1148</v>
      </c>
      <c r="D267">
        <f> 0.522</f>
        <v/>
      </c>
      <c r="E267" t="n">
        <v>-0.04</v>
      </c>
      <c r="F267" t="inlineStr">
        <is>
          <t>[-0.16, 0.08]</t>
        </is>
      </c>
      <c r="G267">
        <f> 0.997</f>
        <v/>
      </c>
      <c r="H267" t="inlineStr"/>
    </row>
    <row r="268">
      <c r="A268" t="inlineStr">
        <is>
          <t>L_9a_ROI</t>
        </is>
      </c>
      <c r="B268" t="n">
        <v>0.92</v>
      </c>
      <c r="C268" t="n">
        <v>1148</v>
      </c>
      <c r="D268">
        <f> 0.356</f>
        <v/>
      </c>
      <c r="E268" t="n">
        <v>0.06</v>
      </c>
      <c r="F268" t="inlineStr">
        <is>
          <t>[-0.06, 0.18]</t>
        </is>
      </c>
      <c r="G268">
        <f> 0.997</f>
        <v/>
      </c>
      <c r="H268" t="inlineStr"/>
    </row>
    <row r="269">
      <c r="A269" t="inlineStr">
        <is>
          <t>L_10v_ROI</t>
        </is>
      </c>
      <c r="B269" t="n">
        <v>0.18</v>
      </c>
      <c r="C269" t="n">
        <v>1148</v>
      </c>
      <c r="D269">
        <f> 0.854</f>
        <v/>
      </c>
      <c r="E269" t="n">
        <v>0.01</v>
      </c>
      <c r="F269" t="inlineStr">
        <is>
          <t>[-0.11, 0.13]</t>
        </is>
      </c>
      <c r="G269">
        <f> 0.997</f>
        <v/>
      </c>
      <c r="H269" t="inlineStr"/>
    </row>
    <row r="270">
      <c r="A270" t="inlineStr">
        <is>
          <t>L_a10p_ROI</t>
        </is>
      </c>
      <c r="B270" t="n">
        <v>-0.23</v>
      </c>
      <c r="C270" t="n">
        <v>1148</v>
      </c>
      <c r="D270">
        <f> 0.816</f>
        <v/>
      </c>
      <c r="E270" t="n">
        <v>-0.01</v>
      </c>
      <c r="F270" t="inlineStr">
        <is>
          <t>[-0.14, 0.11]</t>
        </is>
      </c>
      <c r="G270">
        <f> 0.997</f>
        <v/>
      </c>
      <c r="H270" t="inlineStr"/>
    </row>
    <row r="271">
      <c r="A271" t="inlineStr">
        <is>
          <t>L_10pp_ROI</t>
        </is>
      </c>
      <c r="B271" t="n">
        <v>-0.06</v>
      </c>
      <c r="C271" t="n">
        <v>1148</v>
      </c>
      <c r="D271">
        <f> 0.952</f>
        <v/>
      </c>
      <c r="E271" t="n">
        <v>-0</v>
      </c>
      <c r="F271" t="inlineStr">
        <is>
          <t>[-0.13, 0.12]</t>
        </is>
      </c>
      <c r="G271">
        <f> 0.997</f>
        <v/>
      </c>
      <c r="H271" t="inlineStr"/>
    </row>
    <row r="272">
      <c r="A272" t="inlineStr">
        <is>
          <t>L_11l_ROI</t>
        </is>
      </c>
      <c r="B272" t="n">
        <v>0.15</v>
      </c>
      <c r="C272" t="n">
        <v>1148</v>
      </c>
      <c r="D272">
        <f> 0.877</f>
        <v/>
      </c>
      <c r="E272" t="n">
        <v>0.01</v>
      </c>
      <c r="F272" t="inlineStr">
        <is>
          <t>[-0.11, 0.13]</t>
        </is>
      </c>
      <c r="G272">
        <f> 0.997</f>
        <v/>
      </c>
      <c r="H272" t="inlineStr"/>
    </row>
    <row r="273">
      <c r="A273" t="inlineStr">
        <is>
          <t>L_13l_ROI</t>
        </is>
      </c>
      <c r="B273" t="n">
        <v>0.4</v>
      </c>
      <c r="C273" t="n">
        <v>1148</v>
      </c>
      <c r="D273">
        <f> 0.691</f>
        <v/>
      </c>
      <c r="E273" t="n">
        <v>0.02</v>
      </c>
      <c r="F273" t="inlineStr">
        <is>
          <t>[-0.10, 0.15]</t>
        </is>
      </c>
      <c r="G273">
        <f> 0.997</f>
        <v/>
      </c>
      <c r="H273" t="inlineStr"/>
    </row>
    <row r="274">
      <c r="A274" t="inlineStr">
        <is>
          <t>L_OFC_ROI</t>
        </is>
      </c>
      <c r="B274" t="n">
        <v>0.43</v>
      </c>
      <c r="C274" t="n">
        <v>1148</v>
      </c>
      <c r="D274">
        <f> 0.667</f>
        <v/>
      </c>
      <c r="E274" t="n">
        <v>0.03</v>
      </c>
      <c r="F274" t="inlineStr">
        <is>
          <t>[-0.09, 0.15]</t>
        </is>
      </c>
      <c r="G274">
        <f> 0.997</f>
        <v/>
      </c>
      <c r="H274" t="inlineStr"/>
    </row>
    <row r="275">
      <c r="A275" t="inlineStr">
        <is>
          <t>L_47s_ROI</t>
        </is>
      </c>
      <c r="B275" t="n">
        <v>1.05</v>
      </c>
      <c r="C275" t="n">
        <v>1148</v>
      </c>
      <c r="D275">
        <f> 0.294</f>
        <v/>
      </c>
      <c r="E275" t="n">
        <v>0.07000000000000001</v>
      </c>
      <c r="F275" t="inlineStr">
        <is>
          <t>[-0.06, 0.19]</t>
        </is>
      </c>
      <c r="G275">
        <f> 0.997</f>
        <v/>
      </c>
      <c r="H275" t="inlineStr"/>
    </row>
    <row r="276">
      <c r="A276" t="inlineStr">
        <is>
          <t>L_LIPd_ROI</t>
        </is>
      </c>
      <c r="B276" t="n">
        <v>-1.49</v>
      </c>
      <c r="C276" t="n">
        <v>1148</v>
      </c>
      <c r="D276">
        <f> 0.137</f>
        <v/>
      </c>
      <c r="E276" t="n">
        <v>-0.09</v>
      </c>
      <c r="F276" t="inlineStr">
        <is>
          <t>[-0.21, 0.03]</t>
        </is>
      </c>
      <c r="G276">
        <f> 0.997</f>
        <v/>
      </c>
      <c r="H276" t="inlineStr"/>
    </row>
    <row r="277">
      <c r="A277" t="inlineStr">
        <is>
          <t>L_6a_ROI</t>
        </is>
      </c>
      <c r="B277" t="n">
        <v>-0.41</v>
      </c>
      <c r="C277" t="n">
        <v>1148</v>
      </c>
      <c r="D277">
        <f> 0.682</f>
        <v/>
      </c>
      <c r="E277" t="n">
        <v>-0.03</v>
      </c>
      <c r="F277" t="inlineStr">
        <is>
          <t>[-0.15, 0.10]</t>
        </is>
      </c>
      <c r="G277">
        <f> 0.997</f>
        <v/>
      </c>
      <c r="H277" t="inlineStr"/>
    </row>
    <row r="278">
      <c r="A278" t="inlineStr">
        <is>
          <t>L_i6_8_ROI</t>
        </is>
      </c>
      <c r="B278" t="n">
        <v>-0.19</v>
      </c>
      <c r="C278" t="n">
        <v>1148</v>
      </c>
      <c r="D278">
        <f> 0.846</f>
        <v/>
      </c>
      <c r="E278" t="n">
        <v>-0.01</v>
      </c>
      <c r="F278" t="inlineStr">
        <is>
          <t>[-0.13, 0.11]</t>
        </is>
      </c>
      <c r="G278">
        <f> 0.997</f>
        <v/>
      </c>
      <c r="H278" t="inlineStr"/>
    </row>
    <row r="279">
      <c r="A279" t="inlineStr">
        <is>
          <t>L_s6_8_ROI</t>
        </is>
      </c>
      <c r="B279" t="n">
        <v>0.24</v>
      </c>
      <c r="C279" t="n">
        <v>1148</v>
      </c>
      <c r="D279">
        <f> 0.810</f>
        <v/>
      </c>
      <c r="E279" t="n">
        <v>0.01</v>
      </c>
      <c r="F279" t="inlineStr">
        <is>
          <t>[-0.11, 0.14]</t>
        </is>
      </c>
      <c r="G279">
        <f> 0.997</f>
        <v/>
      </c>
      <c r="H279" t="inlineStr"/>
    </row>
    <row r="280">
      <c r="A280" t="inlineStr">
        <is>
          <t>L_43_ROI</t>
        </is>
      </c>
      <c r="B280" t="n">
        <v>1.04</v>
      </c>
      <c r="C280" t="n">
        <v>1148</v>
      </c>
      <c r="D280">
        <f> 0.298</f>
        <v/>
      </c>
      <c r="E280" t="n">
        <v>0.07000000000000001</v>
      </c>
      <c r="F280" t="inlineStr">
        <is>
          <t>[-0.06, 0.19]</t>
        </is>
      </c>
      <c r="G280">
        <f> 0.997</f>
        <v/>
      </c>
      <c r="H280" t="inlineStr"/>
    </row>
    <row r="281">
      <c r="A281" t="inlineStr">
        <is>
          <t>L_OP4_ROI</t>
        </is>
      </c>
      <c r="B281" t="n">
        <v>1.51</v>
      </c>
      <c r="C281" t="n">
        <v>1148</v>
      </c>
      <c r="D281">
        <f> 0.132</f>
        <v/>
      </c>
      <c r="E281" t="n">
        <v>0.09</v>
      </c>
      <c r="F281" t="inlineStr">
        <is>
          <t>[-0.03, 0.22]</t>
        </is>
      </c>
      <c r="G281">
        <f> 0.997</f>
        <v/>
      </c>
      <c r="H281" t="inlineStr"/>
    </row>
    <row r="282">
      <c r="A282" t="inlineStr">
        <is>
          <t>L_OP1_ROI</t>
        </is>
      </c>
      <c r="B282" t="n">
        <v>0.46</v>
      </c>
      <c r="C282" t="n">
        <v>1148</v>
      </c>
      <c r="D282">
        <f> 0.648</f>
        <v/>
      </c>
      <c r="E282" t="n">
        <v>0.03</v>
      </c>
      <c r="F282" t="inlineStr">
        <is>
          <t>[-0.09, 0.15]</t>
        </is>
      </c>
      <c r="G282">
        <f> 0.997</f>
        <v/>
      </c>
      <c r="H282" t="inlineStr"/>
    </row>
    <row r="283">
      <c r="A283" t="inlineStr">
        <is>
          <t>L_OP2_3_ROI</t>
        </is>
      </c>
      <c r="B283" t="n">
        <v>1.3</v>
      </c>
      <c r="C283" t="n">
        <v>1148</v>
      </c>
      <c r="D283">
        <f> 0.196</f>
        <v/>
      </c>
      <c r="E283" t="n">
        <v>0.08</v>
      </c>
      <c r="F283" t="inlineStr">
        <is>
          <t>[-0.04, 0.20]</t>
        </is>
      </c>
      <c r="G283">
        <f> 0.997</f>
        <v/>
      </c>
      <c r="H283" t="inlineStr"/>
    </row>
    <row r="284">
      <c r="A284" t="inlineStr">
        <is>
          <t>L_52_ROI</t>
        </is>
      </c>
      <c r="B284" t="n">
        <v>0.22</v>
      </c>
      <c r="C284" t="n">
        <v>1148</v>
      </c>
      <c r="D284">
        <f> 0.828</f>
        <v/>
      </c>
      <c r="E284" t="n">
        <v>0.01</v>
      </c>
      <c r="F284" t="inlineStr">
        <is>
          <t>[-0.11, 0.14]</t>
        </is>
      </c>
      <c r="G284">
        <f> 0.997</f>
        <v/>
      </c>
      <c r="H284" t="inlineStr"/>
    </row>
    <row r="285">
      <c r="A285" t="inlineStr">
        <is>
          <t>L_RI_ROI</t>
        </is>
      </c>
      <c r="B285" t="n">
        <v>1.23</v>
      </c>
      <c r="C285" t="n">
        <v>1148</v>
      </c>
      <c r="D285">
        <f> 0.221</f>
        <v/>
      </c>
      <c r="E285" t="n">
        <v>0.08</v>
      </c>
      <c r="F285" t="inlineStr">
        <is>
          <t>[-0.04, 0.20]</t>
        </is>
      </c>
      <c r="G285">
        <f> 0.997</f>
        <v/>
      </c>
      <c r="H285" t="inlineStr"/>
    </row>
    <row r="286">
      <c r="A286" t="inlineStr">
        <is>
          <t>L_PFcm_ROI</t>
        </is>
      </c>
      <c r="B286" t="n">
        <v>-0.21</v>
      </c>
      <c r="C286" t="n">
        <v>1148</v>
      </c>
      <c r="D286">
        <f> 0.832</f>
        <v/>
      </c>
      <c r="E286" t="n">
        <v>-0.01</v>
      </c>
      <c r="F286" t="inlineStr">
        <is>
          <t>[-0.14, 0.11]</t>
        </is>
      </c>
      <c r="G286">
        <f> 0.997</f>
        <v/>
      </c>
      <c r="H286" t="inlineStr"/>
    </row>
    <row r="287">
      <c r="A287" t="inlineStr">
        <is>
          <t>L_PoI2_ROI</t>
        </is>
      </c>
      <c r="B287" t="n">
        <v>1.17</v>
      </c>
      <c r="C287" t="n">
        <v>1148</v>
      </c>
      <c r="D287">
        <f> 0.241</f>
        <v/>
      </c>
      <c r="E287" t="n">
        <v>0.07000000000000001</v>
      </c>
      <c r="F287" t="inlineStr">
        <is>
          <t>[-0.05, 0.20]</t>
        </is>
      </c>
      <c r="G287">
        <f> 0.997</f>
        <v/>
      </c>
      <c r="H287" t="inlineStr"/>
    </row>
    <row r="288">
      <c r="A288" t="inlineStr">
        <is>
          <t>L_TA2_ROI</t>
        </is>
      </c>
      <c r="B288" t="n">
        <v>0.17</v>
      </c>
      <c r="C288" t="n">
        <v>1148</v>
      </c>
      <c r="D288">
        <f> 0.861</f>
        <v/>
      </c>
      <c r="E288" t="n">
        <v>0.01</v>
      </c>
      <c r="F288" t="inlineStr">
        <is>
          <t>[-0.11, 0.13]</t>
        </is>
      </c>
      <c r="G288">
        <f> 0.997</f>
        <v/>
      </c>
      <c r="H288" t="inlineStr"/>
    </row>
    <row r="289">
      <c r="A289" t="inlineStr">
        <is>
          <t>L_FOP4_ROI</t>
        </is>
      </c>
      <c r="B289" t="n">
        <v>1.37</v>
      </c>
      <c r="C289" t="n">
        <v>1148</v>
      </c>
      <c r="D289">
        <f> 0.170</f>
        <v/>
      </c>
      <c r="E289" t="n">
        <v>0.09</v>
      </c>
      <c r="F289" t="inlineStr">
        <is>
          <t>[-0.03, 0.21]</t>
        </is>
      </c>
      <c r="G289">
        <f> 0.997</f>
        <v/>
      </c>
      <c r="H289" t="inlineStr"/>
    </row>
    <row r="290">
      <c r="A290" t="inlineStr">
        <is>
          <t>L_MI_ROI</t>
        </is>
      </c>
      <c r="B290" t="n">
        <v>0.41</v>
      </c>
      <c r="C290" t="n">
        <v>1148</v>
      </c>
      <c r="D290">
        <f> 0.685</f>
        <v/>
      </c>
      <c r="E290" t="n">
        <v>0.03</v>
      </c>
      <c r="F290" t="inlineStr">
        <is>
          <t>[-0.10, 0.15]</t>
        </is>
      </c>
      <c r="G290">
        <f> 0.997</f>
        <v/>
      </c>
      <c r="H290" t="inlineStr"/>
    </row>
    <row r="291">
      <c r="A291" t="inlineStr">
        <is>
          <t>L_Pir_ROI</t>
        </is>
      </c>
      <c r="B291" t="n">
        <v>0.91</v>
      </c>
      <c r="C291" t="n">
        <v>1148</v>
      </c>
      <c r="D291">
        <f> 0.361</f>
        <v/>
      </c>
      <c r="E291" t="n">
        <v>0.06</v>
      </c>
      <c r="F291" t="inlineStr">
        <is>
          <t>[-0.07, 0.18]</t>
        </is>
      </c>
      <c r="G291">
        <f> 0.997</f>
        <v/>
      </c>
      <c r="H291" t="inlineStr"/>
    </row>
    <row r="292">
      <c r="A292" t="inlineStr">
        <is>
          <t>L_AVI_ROI</t>
        </is>
      </c>
      <c r="B292" t="n">
        <v>1.18</v>
      </c>
      <c r="C292" t="n">
        <v>1148</v>
      </c>
      <c r="D292">
        <f> 0.238</f>
        <v/>
      </c>
      <c r="E292" t="n">
        <v>0.07000000000000001</v>
      </c>
      <c r="F292" t="inlineStr">
        <is>
          <t>[-0.05, 0.20]</t>
        </is>
      </c>
      <c r="G292">
        <f> 0.997</f>
        <v/>
      </c>
      <c r="H292" t="inlineStr"/>
    </row>
    <row r="293">
      <c r="A293" t="inlineStr">
        <is>
          <t>L_AAIC_ROI</t>
        </is>
      </c>
      <c r="B293" t="n">
        <v>0.71</v>
      </c>
      <c r="C293" t="n">
        <v>1148</v>
      </c>
      <c r="D293">
        <f> 0.476</f>
        <v/>
      </c>
      <c r="E293" t="n">
        <v>0.05</v>
      </c>
      <c r="F293" t="inlineStr">
        <is>
          <t>[-0.08, 0.17]</t>
        </is>
      </c>
      <c r="G293">
        <f> 0.997</f>
        <v/>
      </c>
      <c r="H293" t="inlineStr"/>
    </row>
    <row r="294">
      <c r="A294" t="inlineStr">
        <is>
          <t>L_FOP1_ROI</t>
        </is>
      </c>
      <c r="B294" t="n">
        <v>1.21</v>
      </c>
      <c r="C294" t="n">
        <v>1148</v>
      </c>
      <c r="D294">
        <f> 0.228</f>
        <v/>
      </c>
      <c r="E294" t="n">
        <v>0.07000000000000001</v>
      </c>
      <c r="F294" t="inlineStr">
        <is>
          <t>[-0.05, 0.20]</t>
        </is>
      </c>
      <c r="G294">
        <f> 0.997</f>
        <v/>
      </c>
      <c r="H294" t="inlineStr"/>
    </row>
    <row r="295">
      <c r="A295" t="inlineStr">
        <is>
          <t>L_FOP3_ROI</t>
        </is>
      </c>
      <c r="B295" t="n">
        <v>0.41</v>
      </c>
      <c r="C295" t="n">
        <v>1148</v>
      </c>
      <c r="D295">
        <f> 0.682</f>
        <v/>
      </c>
      <c r="E295" t="n">
        <v>0.03</v>
      </c>
      <c r="F295" t="inlineStr">
        <is>
          <t>[-0.10, 0.15]</t>
        </is>
      </c>
      <c r="G295">
        <f> 0.997</f>
        <v/>
      </c>
      <c r="H295" t="inlineStr"/>
    </row>
    <row r="296">
      <c r="A296" t="inlineStr">
        <is>
          <t>L_FOP2_ROI</t>
        </is>
      </c>
      <c r="B296" t="n">
        <v>0.16</v>
      </c>
      <c r="C296" t="n">
        <v>1148</v>
      </c>
      <c r="D296">
        <f> 0.877</f>
        <v/>
      </c>
      <c r="E296" t="n">
        <v>0.01</v>
      </c>
      <c r="F296" t="inlineStr">
        <is>
          <t>[-0.11, 0.13]</t>
        </is>
      </c>
      <c r="G296">
        <f> 0.997</f>
        <v/>
      </c>
      <c r="H296" t="inlineStr"/>
    </row>
    <row r="297">
      <c r="A297" t="inlineStr">
        <is>
          <t>L_PFt_ROI</t>
        </is>
      </c>
      <c r="B297" t="n">
        <v>-0.49</v>
      </c>
      <c r="C297" t="n">
        <v>1148</v>
      </c>
      <c r="D297">
        <f> 0.624</f>
        <v/>
      </c>
      <c r="E297" t="n">
        <v>-0.03</v>
      </c>
      <c r="F297" t="inlineStr">
        <is>
          <t>[-0.15, 0.09]</t>
        </is>
      </c>
      <c r="G297">
        <f> 0.997</f>
        <v/>
      </c>
      <c r="H297" t="inlineStr"/>
    </row>
    <row r="298">
      <c r="A298" t="inlineStr">
        <is>
          <t>L_AIP_ROI</t>
        </is>
      </c>
      <c r="B298" t="n">
        <v>-0.26</v>
      </c>
      <c r="C298" t="n">
        <v>1148</v>
      </c>
      <c r="D298">
        <f> 0.798</f>
        <v/>
      </c>
      <c r="E298" t="n">
        <v>-0.02</v>
      </c>
      <c r="F298" t="inlineStr">
        <is>
          <t>[-0.14, 0.11]</t>
        </is>
      </c>
      <c r="G298">
        <f> 0.997</f>
        <v/>
      </c>
      <c r="H298" t="inlineStr"/>
    </row>
    <row r="299">
      <c r="A299" t="inlineStr">
        <is>
          <t>L_EC_ROI</t>
        </is>
      </c>
      <c r="B299" t="n">
        <v>-0.7</v>
      </c>
      <c r="C299" t="n">
        <v>1148</v>
      </c>
      <c r="D299">
        <f> 0.485</f>
        <v/>
      </c>
      <c r="E299" t="n">
        <v>-0.04</v>
      </c>
      <c r="F299" t="inlineStr">
        <is>
          <t>[-0.17, 0.08]</t>
        </is>
      </c>
      <c r="G299">
        <f> 0.997</f>
        <v/>
      </c>
      <c r="H299" t="inlineStr"/>
    </row>
    <row r="300">
      <c r="A300" t="inlineStr">
        <is>
          <t>L_PreS_ROI</t>
        </is>
      </c>
      <c r="B300" t="n">
        <v>-0.36</v>
      </c>
      <c r="C300" t="n">
        <v>1148</v>
      </c>
      <c r="D300">
        <f> 0.719</f>
        <v/>
      </c>
      <c r="E300" t="n">
        <v>-0.02</v>
      </c>
      <c r="F300" t="inlineStr">
        <is>
          <t>[-0.14, 0.10]</t>
        </is>
      </c>
      <c r="G300">
        <f> 0.997</f>
        <v/>
      </c>
      <c r="H300" t="inlineStr"/>
    </row>
    <row r="301">
      <c r="A301" t="inlineStr">
        <is>
          <t>L_H_ROI</t>
        </is>
      </c>
      <c r="B301" t="n">
        <v>0.96</v>
      </c>
      <c r="C301" t="n">
        <v>1148</v>
      </c>
      <c r="D301">
        <f> 0.338</f>
        <v/>
      </c>
      <c r="E301" t="n">
        <v>0.06</v>
      </c>
      <c r="F301" t="inlineStr">
        <is>
          <t>[-0.06, 0.18]</t>
        </is>
      </c>
      <c r="G301">
        <f> 0.997</f>
        <v/>
      </c>
      <c r="H301" t="inlineStr"/>
    </row>
    <row r="302">
      <c r="A302" t="inlineStr">
        <is>
          <t>L_ProS_ROI</t>
        </is>
      </c>
      <c r="B302" t="n">
        <v>0.47</v>
      </c>
      <c r="C302" t="n">
        <v>1148</v>
      </c>
      <c r="D302">
        <f> 0.640</f>
        <v/>
      </c>
      <c r="E302" t="n">
        <v>0.03</v>
      </c>
      <c r="F302" t="inlineStr">
        <is>
          <t>[-0.09, 0.15]</t>
        </is>
      </c>
      <c r="G302">
        <f> 0.997</f>
        <v/>
      </c>
      <c r="H302" t="inlineStr"/>
    </row>
    <row r="303">
      <c r="A303" t="inlineStr">
        <is>
          <t>L_PeEc_ROI</t>
        </is>
      </c>
      <c r="B303" t="n">
        <v>-0.84</v>
      </c>
      <c r="C303" t="n">
        <v>1148</v>
      </c>
      <c r="D303">
        <f> 0.404</f>
        <v/>
      </c>
      <c r="E303" t="n">
        <v>-0.05</v>
      </c>
      <c r="F303" t="inlineStr">
        <is>
          <t>[-0.17, 0.07]</t>
        </is>
      </c>
      <c r="G303">
        <f> 0.997</f>
        <v/>
      </c>
      <c r="H303" t="inlineStr"/>
    </row>
    <row r="304">
      <c r="A304" t="inlineStr">
        <is>
          <t>L_STGa_ROI</t>
        </is>
      </c>
      <c r="B304" t="n">
        <v>0.83</v>
      </c>
      <c r="C304" t="n">
        <v>1148</v>
      </c>
      <c r="D304">
        <f> 0.409</f>
        <v/>
      </c>
      <c r="E304" t="n">
        <v>0.05</v>
      </c>
      <c r="F304" t="inlineStr">
        <is>
          <t>[-0.07, 0.17]</t>
        </is>
      </c>
      <c r="G304">
        <f> 0.997</f>
        <v/>
      </c>
      <c r="H304" t="inlineStr"/>
    </row>
    <row r="305">
      <c r="A305" t="inlineStr">
        <is>
          <t>L_PBelt_ROI</t>
        </is>
      </c>
      <c r="B305" t="n">
        <v>-0.4</v>
      </c>
      <c r="C305" t="n">
        <v>1148</v>
      </c>
      <c r="D305">
        <f> 0.688</f>
        <v/>
      </c>
      <c r="E305" t="n">
        <v>-0.03</v>
      </c>
      <c r="F305" t="inlineStr">
        <is>
          <t>[-0.15, 0.10]</t>
        </is>
      </c>
      <c r="G305">
        <f> 0.997</f>
        <v/>
      </c>
      <c r="H305" t="inlineStr"/>
    </row>
    <row r="306">
      <c r="A306" t="inlineStr">
        <is>
          <t>L_A5_ROI</t>
        </is>
      </c>
      <c r="B306" t="n">
        <v>-0.4</v>
      </c>
      <c r="C306" t="n">
        <v>1148</v>
      </c>
      <c r="D306">
        <f> 0.688</f>
        <v/>
      </c>
      <c r="E306" t="n">
        <v>-0.03</v>
      </c>
      <c r="F306" t="inlineStr">
        <is>
          <t>[-0.15, 0.10]</t>
        </is>
      </c>
      <c r="G306">
        <f> 0.997</f>
        <v/>
      </c>
      <c r="H306" t="inlineStr"/>
    </row>
    <row r="307">
      <c r="A307" t="inlineStr">
        <is>
          <t>L_PHA1_ROI</t>
        </is>
      </c>
      <c r="B307" t="n">
        <v>-0.11</v>
      </c>
      <c r="C307" t="n">
        <v>1148</v>
      </c>
      <c r="D307">
        <f> 0.912</f>
        <v/>
      </c>
      <c r="E307" t="n">
        <v>-0.01</v>
      </c>
      <c r="F307" t="inlineStr">
        <is>
          <t>[-0.13, 0.11]</t>
        </is>
      </c>
      <c r="G307">
        <f> 0.997</f>
        <v/>
      </c>
      <c r="H307" t="inlineStr"/>
    </row>
    <row r="308">
      <c r="A308" t="inlineStr">
        <is>
          <t>L_PHA3_ROI</t>
        </is>
      </c>
      <c r="B308" t="n">
        <v>-0.57</v>
      </c>
      <c r="C308" t="n">
        <v>1148</v>
      </c>
      <c r="D308">
        <f> 0.567</f>
        <v/>
      </c>
      <c r="E308" t="n">
        <v>-0.04</v>
      </c>
      <c r="F308" t="inlineStr">
        <is>
          <t>[-0.16, 0.09]</t>
        </is>
      </c>
      <c r="G308">
        <f> 0.997</f>
        <v/>
      </c>
      <c r="H308" t="inlineStr"/>
    </row>
    <row r="309">
      <c r="A309" t="inlineStr">
        <is>
          <t>L_STSda_ROI</t>
        </is>
      </c>
      <c r="B309" t="n">
        <v>0.9399999999999999</v>
      </c>
      <c r="C309" t="n">
        <v>1148</v>
      </c>
      <c r="D309">
        <f> 0.346</f>
        <v/>
      </c>
      <c r="E309" t="n">
        <v>0.06</v>
      </c>
      <c r="F309" t="inlineStr">
        <is>
          <t>[-0.06, 0.18]</t>
        </is>
      </c>
      <c r="G309">
        <f> 0.997</f>
        <v/>
      </c>
      <c r="H309" t="inlineStr"/>
    </row>
    <row r="310">
      <c r="A310" t="inlineStr">
        <is>
          <t>L_STSdp_ROI</t>
        </is>
      </c>
      <c r="B310" t="n">
        <v>-0.15</v>
      </c>
      <c r="C310" t="n">
        <v>1148</v>
      </c>
      <c r="D310">
        <f> 0.882</f>
        <v/>
      </c>
      <c r="E310" t="n">
        <v>-0.01</v>
      </c>
      <c r="F310" t="inlineStr">
        <is>
          <t>[-0.13, 0.11]</t>
        </is>
      </c>
      <c r="G310">
        <f> 0.997</f>
        <v/>
      </c>
      <c r="H310" t="inlineStr"/>
    </row>
    <row r="311">
      <c r="A311" t="inlineStr">
        <is>
          <t>L_STSvp_ROI</t>
        </is>
      </c>
      <c r="B311" t="n">
        <v>1.64</v>
      </c>
      <c r="C311" t="n">
        <v>1148</v>
      </c>
      <c r="D311">
        <f> 0.101</f>
        <v/>
      </c>
      <c r="E311" t="n">
        <v>0.1</v>
      </c>
      <c r="F311" t="inlineStr">
        <is>
          <t>[-0.02, 0.22]</t>
        </is>
      </c>
      <c r="G311">
        <f> 0.997</f>
        <v/>
      </c>
      <c r="H311" t="inlineStr"/>
    </row>
    <row r="312">
      <c r="A312" t="inlineStr">
        <is>
          <t>L_TGd_ROI</t>
        </is>
      </c>
      <c r="B312" t="n">
        <v>0.73</v>
      </c>
      <c r="C312" t="n">
        <v>1148</v>
      </c>
      <c r="D312">
        <f> 0.466</f>
        <v/>
      </c>
      <c r="E312" t="n">
        <v>0.05</v>
      </c>
      <c r="F312" t="inlineStr">
        <is>
          <t>[-0.08, 0.17]</t>
        </is>
      </c>
      <c r="G312">
        <f> 0.997</f>
        <v/>
      </c>
      <c r="H312" t="inlineStr"/>
    </row>
    <row r="313">
      <c r="A313" t="inlineStr">
        <is>
          <t>L_TE1a_ROI</t>
        </is>
      </c>
      <c r="B313" t="n">
        <v>1.76</v>
      </c>
      <c r="C313" t="n">
        <v>1148</v>
      </c>
      <c r="D313">
        <f> 0.079</f>
        <v/>
      </c>
      <c r="E313" t="n">
        <v>0.11</v>
      </c>
      <c r="F313" t="inlineStr">
        <is>
          <t>[-0.01, 0.23]</t>
        </is>
      </c>
      <c r="G313">
        <f> 0.997</f>
        <v/>
      </c>
      <c r="H313" t="inlineStr"/>
    </row>
    <row r="314">
      <c r="A314" t="inlineStr">
        <is>
          <t>L_TE1p_ROI</t>
        </is>
      </c>
      <c r="B314" t="n">
        <v>0.58</v>
      </c>
      <c r="C314" t="n">
        <v>1148</v>
      </c>
      <c r="D314">
        <f> 0.560</f>
        <v/>
      </c>
      <c r="E314" t="n">
        <v>0.04</v>
      </c>
      <c r="F314" t="inlineStr">
        <is>
          <t>[-0.09, 0.16]</t>
        </is>
      </c>
      <c r="G314">
        <f> 0.997</f>
        <v/>
      </c>
      <c r="H314" t="inlineStr"/>
    </row>
    <row r="315">
      <c r="A315" t="inlineStr">
        <is>
          <t>L_TE2a_ROI</t>
        </is>
      </c>
      <c r="B315" t="n">
        <v>1.54</v>
      </c>
      <c r="C315" t="n">
        <v>1148</v>
      </c>
      <c r="D315">
        <f> 0.125</f>
        <v/>
      </c>
      <c r="E315" t="n">
        <v>0.1</v>
      </c>
      <c r="F315" t="inlineStr">
        <is>
          <t>[-0.03, 0.22]</t>
        </is>
      </c>
      <c r="G315">
        <f> 0.997</f>
        <v/>
      </c>
      <c r="H315" t="inlineStr"/>
    </row>
    <row r="316">
      <c r="A316" t="inlineStr">
        <is>
          <t>L_TF_ROI</t>
        </is>
      </c>
      <c r="B316" t="n">
        <v>1.12</v>
      </c>
      <c r="C316" t="n">
        <v>1148</v>
      </c>
      <c r="D316">
        <f> 0.264</f>
        <v/>
      </c>
      <c r="E316" t="n">
        <v>0.07000000000000001</v>
      </c>
      <c r="F316" t="inlineStr">
        <is>
          <t>[-0.05, 0.19]</t>
        </is>
      </c>
      <c r="G316">
        <f> 0.997</f>
        <v/>
      </c>
      <c r="H316" t="inlineStr"/>
    </row>
    <row r="317">
      <c r="A317" t="inlineStr">
        <is>
          <t>L_TE2p_ROI</t>
        </is>
      </c>
      <c r="B317" t="n">
        <v>1.72</v>
      </c>
      <c r="C317" t="n">
        <v>1148</v>
      </c>
      <c r="D317">
        <f> 0.087</f>
        <v/>
      </c>
      <c r="E317" t="n">
        <v>0.11</v>
      </c>
      <c r="F317" t="inlineStr">
        <is>
          <t>[-0.01, 0.23]</t>
        </is>
      </c>
      <c r="G317">
        <f> 0.997</f>
        <v/>
      </c>
      <c r="H317" t="inlineStr"/>
    </row>
    <row r="318">
      <c r="A318" t="inlineStr">
        <is>
          <t>L_PHT_ROI</t>
        </is>
      </c>
      <c r="B318" t="n">
        <v>0.6899999999999999</v>
      </c>
      <c r="C318" t="n">
        <v>1148</v>
      </c>
      <c r="D318">
        <f> 0.489</f>
        <v/>
      </c>
      <c r="E318" t="n">
        <v>0.04</v>
      </c>
      <c r="F318" t="inlineStr">
        <is>
          <t>[-0.08, 0.16]</t>
        </is>
      </c>
      <c r="G318">
        <f> 0.997</f>
        <v/>
      </c>
      <c r="H318" t="inlineStr"/>
    </row>
    <row r="319">
      <c r="A319" t="inlineStr">
        <is>
          <t>L_PH_ROI</t>
        </is>
      </c>
      <c r="B319" t="n">
        <v>0.79</v>
      </c>
      <c r="C319" t="n">
        <v>1148</v>
      </c>
      <c r="D319">
        <f> 0.427</f>
        <v/>
      </c>
      <c r="E319" t="n">
        <v>0.05</v>
      </c>
      <c r="F319" t="inlineStr">
        <is>
          <t>[-0.07, 0.17]</t>
        </is>
      </c>
      <c r="G319">
        <f> 0.997</f>
        <v/>
      </c>
      <c r="H319" t="inlineStr"/>
    </row>
    <row r="320">
      <c r="A320" t="inlineStr">
        <is>
          <t>L_TPOJ1_ROI</t>
        </is>
      </c>
      <c r="B320" t="n">
        <v>0.72</v>
      </c>
      <c r="C320" t="n">
        <v>1148</v>
      </c>
      <c r="D320">
        <f> 0.474</f>
        <v/>
      </c>
      <c r="E320" t="n">
        <v>0.04</v>
      </c>
      <c r="F320" t="inlineStr">
        <is>
          <t>[-0.08, 0.17]</t>
        </is>
      </c>
      <c r="G320">
        <f> 0.997</f>
        <v/>
      </c>
      <c r="H320" t="inlineStr"/>
    </row>
    <row r="321">
      <c r="A321" t="inlineStr">
        <is>
          <t>L_TPOJ2_ROI</t>
        </is>
      </c>
      <c r="B321" t="n">
        <v>1.39</v>
      </c>
      <c r="C321" t="n">
        <v>1148</v>
      </c>
      <c r="D321">
        <f> 0.164</f>
        <v/>
      </c>
      <c r="E321" t="n">
        <v>0.09</v>
      </c>
      <c r="F321" t="inlineStr">
        <is>
          <t>[-0.04, 0.21]</t>
        </is>
      </c>
      <c r="G321">
        <f> 0.997</f>
        <v/>
      </c>
      <c r="H321" t="inlineStr"/>
    </row>
    <row r="322">
      <c r="A322" t="inlineStr">
        <is>
          <t>L_TPOJ3_ROI</t>
        </is>
      </c>
      <c r="B322" t="n">
        <v>0.45</v>
      </c>
      <c r="C322" t="n">
        <v>1148</v>
      </c>
      <c r="D322">
        <f> 0.650</f>
        <v/>
      </c>
      <c r="E322" t="n">
        <v>0.03</v>
      </c>
      <c r="F322" t="inlineStr">
        <is>
          <t>[-0.09, 0.15]</t>
        </is>
      </c>
      <c r="G322">
        <f> 0.997</f>
        <v/>
      </c>
      <c r="H322" t="inlineStr"/>
    </row>
    <row r="323">
      <c r="A323" t="inlineStr">
        <is>
          <t>L_DVT_ROI</t>
        </is>
      </c>
      <c r="B323" t="n">
        <v>-0.66</v>
      </c>
      <c r="C323" t="n">
        <v>1148</v>
      </c>
      <c r="D323">
        <f> 0.508</f>
        <v/>
      </c>
      <c r="E323" t="n">
        <v>-0.04</v>
      </c>
      <c r="F323" t="inlineStr">
        <is>
          <t>[-0.16, 0.08]</t>
        </is>
      </c>
      <c r="G323">
        <f> 0.997</f>
        <v/>
      </c>
      <c r="H323" t="inlineStr"/>
    </row>
    <row r="324">
      <c r="A324" t="inlineStr">
        <is>
          <t>L_PGp_ROI</t>
        </is>
      </c>
      <c r="B324" t="n">
        <v>-0.52</v>
      </c>
      <c r="C324" t="n">
        <v>1148</v>
      </c>
      <c r="D324">
        <f> 0.606</f>
        <v/>
      </c>
      <c r="E324" t="n">
        <v>-0.03</v>
      </c>
      <c r="F324" t="inlineStr">
        <is>
          <t>[-0.15, 0.09]</t>
        </is>
      </c>
      <c r="G324">
        <f> 0.997</f>
        <v/>
      </c>
      <c r="H324" t="inlineStr"/>
    </row>
    <row r="325">
      <c r="A325" t="inlineStr">
        <is>
          <t>L_IP2_ROI</t>
        </is>
      </c>
      <c r="B325" t="n">
        <v>-0.6899999999999999</v>
      </c>
      <c r="C325" t="n">
        <v>1148</v>
      </c>
      <c r="D325">
        <f> 0.488</f>
        <v/>
      </c>
      <c r="E325" t="n">
        <v>-0.04</v>
      </c>
      <c r="F325" t="inlineStr">
        <is>
          <t>[-0.17, 0.08]</t>
        </is>
      </c>
      <c r="G325">
        <f> 0.997</f>
        <v/>
      </c>
      <c r="H325" t="inlineStr"/>
    </row>
    <row r="326">
      <c r="A326" t="inlineStr">
        <is>
          <t>L_IP1_ROI</t>
        </is>
      </c>
      <c r="B326" t="n">
        <v>-0.45</v>
      </c>
      <c r="C326" t="n">
        <v>1148</v>
      </c>
      <c r="D326">
        <f> 0.651</f>
        <v/>
      </c>
      <c r="E326" t="n">
        <v>-0.03</v>
      </c>
      <c r="F326" t="inlineStr">
        <is>
          <t>[-0.15, 0.09]</t>
        </is>
      </c>
      <c r="G326">
        <f> 0.997</f>
        <v/>
      </c>
      <c r="H326" t="inlineStr"/>
    </row>
    <row r="327">
      <c r="A327" t="inlineStr">
        <is>
          <t>L_IP0_ROI</t>
        </is>
      </c>
      <c r="B327" t="n">
        <v>-0.31</v>
      </c>
      <c r="C327" t="n">
        <v>1148</v>
      </c>
      <c r="D327">
        <f> 0.756</f>
        <v/>
      </c>
      <c r="E327" t="n">
        <v>-0.02</v>
      </c>
      <c r="F327" t="inlineStr">
        <is>
          <t>[-0.14, 0.10]</t>
        </is>
      </c>
      <c r="G327">
        <f> 0.997</f>
        <v/>
      </c>
      <c r="H327" t="inlineStr"/>
    </row>
    <row r="328">
      <c r="A328" t="inlineStr">
        <is>
          <t>L_PFop_ROI</t>
        </is>
      </c>
      <c r="B328" t="n">
        <v>0.46</v>
      </c>
      <c r="C328" t="n">
        <v>1148</v>
      </c>
      <c r="D328">
        <f> 0.645</f>
        <v/>
      </c>
      <c r="E328" t="n">
        <v>0.03</v>
      </c>
      <c r="F328" t="inlineStr">
        <is>
          <t>[-0.09, 0.15]</t>
        </is>
      </c>
      <c r="G328">
        <f> 0.997</f>
        <v/>
      </c>
      <c r="H328" t="inlineStr"/>
    </row>
    <row r="329">
      <c r="A329" t="inlineStr">
        <is>
          <t>L_PF_ROI</t>
        </is>
      </c>
      <c r="B329" t="n">
        <v>1.29</v>
      </c>
      <c r="C329" t="n">
        <v>1148</v>
      </c>
      <c r="D329">
        <f> 0.196</f>
        <v/>
      </c>
      <c r="E329" t="n">
        <v>0.08</v>
      </c>
      <c r="F329" t="inlineStr">
        <is>
          <t>[-0.04, 0.20]</t>
        </is>
      </c>
      <c r="G329">
        <f> 0.997</f>
        <v/>
      </c>
      <c r="H329" t="inlineStr"/>
    </row>
    <row r="330">
      <c r="A330" t="inlineStr">
        <is>
          <t>L_PFm_ROI</t>
        </is>
      </c>
      <c r="B330" t="n">
        <v>-0.03</v>
      </c>
      <c r="C330" t="n">
        <v>1148</v>
      </c>
      <c r="D330">
        <f> 0.974</f>
        <v/>
      </c>
      <c r="E330" t="n">
        <v>-0</v>
      </c>
      <c r="F330" t="inlineStr">
        <is>
          <t>[-0.12, 0.12]</t>
        </is>
      </c>
      <c r="G330">
        <f> 0.997</f>
        <v/>
      </c>
      <c r="H330" t="inlineStr"/>
    </row>
    <row r="331">
      <c r="A331" t="inlineStr">
        <is>
          <t>L_PGi_ROI</t>
        </is>
      </c>
      <c r="B331" t="n">
        <v>0.61</v>
      </c>
      <c r="C331" t="n">
        <v>1148</v>
      </c>
      <c r="D331">
        <f> 0.542</f>
        <v/>
      </c>
      <c r="E331" t="n">
        <v>0.04</v>
      </c>
      <c r="F331" t="inlineStr">
        <is>
          <t>[-0.08, 0.16]</t>
        </is>
      </c>
      <c r="G331">
        <f> 0.997</f>
        <v/>
      </c>
      <c r="H331" t="inlineStr"/>
    </row>
    <row r="332">
      <c r="A332" t="inlineStr">
        <is>
          <t>L_PGs_ROI</t>
        </is>
      </c>
      <c r="B332" t="n">
        <v>-0.42</v>
      </c>
      <c r="C332" t="n">
        <v>1148</v>
      </c>
      <c r="D332">
        <f> 0.673</f>
        <v/>
      </c>
      <c r="E332" t="n">
        <v>-0.03</v>
      </c>
      <c r="F332" t="inlineStr">
        <is>
          <t>[-0.15, 0.10]</t>
        </is>
      </c>
      <c r="G332">
        <f> 0.997</f>
        <v/>
      </c>
      <c r="H332" t="inlineStr"/>
    </row>
    <row r="333">
      <c r="A333" t="inlineStr">
        <is>
          <t>L_V6A_ROI</t>
        </is>
      </c>
      <c r="B333" t="n">
        <v>-0.21</v>
      </c>
      <c r="C333" t="n">
        <v>1148</v>
      </c>
      <c r="D333">
        <f> 0.832</f>
        <v/>
      </c>
      <c r="E333" t="n">
        <v>-0.01</v>
      </c>
      <c r="F333" t="inlineStr">
        <is>
          <t>[-0.14, 0.11]</t>
        </is>
      </c>
      <c r="G333">
        <f> 0.997</f>
        <v/>
      </c>
      <c r="H333" t="inlineStr"/>
    </row>
    <row r="334">
      <c r="A334" t="inlineStr">
        <is>
          <t>L_VMV1_ROI</t>
        </is>
      </c>
      <c r="B334" t="n">
        <v>1.26</v>
      </c>
      <c r="C334" t="n">
        <v>1148</v>
      </c>
      <c r="D334">
        <f> 0.209</f>
        <v/>
      </c>
      <c r="E334" t="n">
        <v>0.08</v>
      </c>
      <c r="F334" t="inlineStr">
        <is>
          <t>[-0.04, 0.20]</t>
        </is>
      </c>
      <c r="G334">
        <f> 0.997</f>
        <v/>
      </c>
      <c r="H334" t="inlineStr"/>
    </row>
    <row r="335">
      <c r="A335" t="inlineStr">
        <is>
          <t>L_VMV3_ROI</t>
        </is>
      </c>
      <c r="B335" t="n">
        <v>0.63</v>
      </c>
      <c r="C335" t="n">
        <v>1148</v>
      </c>
      <c r="D335">
        <f> 0.527</f>
        <v/>
      </c>
      <c r="E335" t="n">
        <v>0.04</v>
      </c>
      <c r="F335" t="inlineStr">
        <is>
          <t>[-0.08, 0.16]</t>
        </is>
      </c>
      <c r="G335">
        <f> 0.997</f>
        <v/>
      </c>
      <c r="H335" t="inlineStr"/>
    </row>
    <row r="336">
      <c r="A336" t="inlineStr">
        <is>
          <t>L_PHA2_ROI</t>
        </is>
      </c>
      <c r="B336" t="n">
        <v>-0.66</v>
      </c>
      <c r="C336" t="n">
        <v>1148</v>
      </c>
      <c r="D336">
        <f> 0.506</f>
        <v/>
      </c>
      <c r="E336" t="n">
        <v>-0.04</v>
      </c>
      <c r="F336" t="inlineStr">
        <is>
          <t>[-0.16, 0.08]</t>
        </is>
      </c>
      <c r="G336">
        <f> 0.997</f>
        <v/>
      </c>
      <c r="H336" t="inlineStr"/>
    </row>
    <row r="337">
      <c r="A337" t="inlineStr">
        <is>
          <t>L_V4t_ROI</t>
        </is>
      </c>
      <c r="B337" t="n">
        <v>-0.37</v>
      </c>
      <c r="C337" t="n">
        <v>1148</v>
      </c>
      <c r="D337">
        <f> 0.714</f>
        <v/>
      </c>
      <c r="E337" t="n">
        <v>-0.02</v>
      </c>
      <c r="F337" t="inlineStr">
        <is>
          <t>[-0.14, 0.10]</t>
        </is>
      </c>
      <c r="G337">
        <f> 0.997</f>
        <v/>
      </c>
      <c r="H337" t="inlineStr"/>
    </row>
    <row r="338">
      <c r="A338" t="inlineStr">
        <is>
          <t>L_FST_ROI</t>
        </is>
      </c>
      <c r="B338" t="n">
        <v>1.23</v>
      </c>
      <c r="C338" t="n">
        <v>1148</v>
      </c>
      <c r="D338">
        <f> 0.220</f>
        <v/>
      </c>
      <c r="E338" t="n">
        <v>0.08</v>
      </c>
      <c r="F338" t="inlineStr">
        <is>
          <t>[-0.05, 0.20]</t>
        </is>
      </c>
      <c r="G338">
        <f> 0.997</f>
        <v/>
      </c>
      <c r="H338" t="inlineStr"/>
    </row>
    <row r="339">
      <c r="A339" t="inlineStr">
        <is>
          <t>L_V3CD_ROI</t>
        </is>
      </c>
      <c r="B339" t="n">
        <v>-0.91</v>
      </c>
      <c r="C339" t="n">
        <v>1148</v>
      </c>
      <c r="D339">
        <f> 0.361</f>
        <v/>
      </c>
      <c r="E339" t="n">
        <v>-0.06</v>
      </c>
      <c r="F339" t="inlineStr">
        <is>
          <t>[-0.18, 0.07]</t>
        </is>
      </c>
      <c r="G339">
        <f> 0.997</f>
        <v/>
      </c>
      <c r="H339" t="inlineStr"/>
    </row>
    <row r="340">
      <c r="A340" t="inlineStr">
        <is>
          <t>L_LO3_ROI</t>
        </is>
      </c>
      <c r="B340" t="n">
        <v>-0.2</v>
      </c>
      <c r="C340" t="n">
        <v>1148</v>
      </c>
      <c r="D340">
        <f> 0.840</f>
        <v/>
      </c>
      <c r="E340" t="n">
        <v>-0.01</v>
      </c>
      <c r="F340" t="inlineStr">
        <is>
          <t>[-0.13, 0.11]</t>
        </is>
      </c>
      <c r="G340">
        <f> 0.997</f>
        <v/>
      </c>
      <c r="H340" t="inlineStr"/>
    </row>
    <row r="341">
      <c r="A341" t="inlineStr">
        <is>
          <t>L_VMV2_ROI</t>
        </is>
      </c>
      <c r="B341" t="n">
        <v>0.85</v>
      </c>
      <c r="C341" t="n">
        <v>1148</v>
      </c>
      <c r="D341">
        <f> 0.398</f>
        <v/>
      </c>
      <c r="E341" t="n">
        <v>0.05</v>
      </c>
      <c r="F341" t="inlineStr">
        <is>
          <t>[-0.07, 0.17]</t>
        </is>
      </c>
      <c r="G341">
        <f> 0.997</f>
        <v/>
      </c>
      <c r="H341" t="inlineStr"/>
    </row>
    <row r="342">
      <c r="A342" t="inlineStr">
        <is>
          <t>L_31pd_ROI</t>
        </is>
      </c>
      <c r="B342" t="n">
        <v>-0.59</v>
      </c>
      <c r="C342" t="n">
        <v>1148</v>
      </c>
      <c r="D342">
        <f> 0.556</f>
        <v/>
      </c>
      <c r="E342" t="n">
        <v>-0.04</v>
      </c>
      <c r="F342" t="inlineStr">
        <is>
          <t>[-0.16, 0.08]</t>
        </is>
      </c>
      <c r="G342">
        <f> 0.997</f>
        <v/>
      </c>
      <c r="H342" t="inlineStr"/>
    </row>
    <row r="343">
      <c r="A343" t="inlineStr">
        <is>
          <t>L_31a_ROI</t>
        </is>
      </c>
      <c r="B343" t="n">
        <v>0.49</v>
      </c>
      <c r="C343" t="n">
        <v>1148</v>
      </c>
      <c r="D343">
        <f> 0.627</f>
        <v/>
      </c>
      <c r="E343" t="n">
        <v>0.03</v>
      </c>
      <c r="F343" t="inlineStr">
        <is>
          <t>[-0.09, 0.15]</t>
        </is>
      </c>
      <c r="G343">
        <f> 0.997</f>
        <v/>
      </c>
      <c r="H343" t="inlineStr"/>
    </row>
    <row r="344">
      <c r="A344" t="inlineStr">
        <is>
          <t>L_VVC_ROI</t>
        </is>
      </c>
      <c r="B344" t="n">
        <v>1.77</v>
      </c>
      <c r="C344" t="n">
        <v>1148</v>
      </c>
      <c r="D344">
        <f> 0.078</f>
        <v/>
      </c>
      <c r="E344" t="n">
        <v>0.11</v>
      </c>
      <c r="F344" t="inlineStr">
        <is>
          <t>[-0.01, 0.23]</t>
        </is>
      </c>
      <c r="G344">
        <f> 0.997</f>
        <v/>
      </c>
      <c r="H344" t="inlineStr"/>
    </row>
    <row r="345">
      <c r="A345" t="inlineStr">
        <is>
          <t>L_25_ROI</t>
        </is>
      </c>
      <c r="B345" t="n">
        <v>-0.26</v>
      </c>
      <c r="C345" t="n">
        <v>1148</v>
      </c>
      <c r="D345">
        <f> 0.794</f>
        <v/>
      </c>
      <c r="E345" t="n">
        <v>-0.02</v>
      </c>
      <c r="F345" t="inlineStr">
        <is>
          <t>[-0.14, 0.11]</t>
        </is>
      </c>
      <c r="G345">
        <f> 0.997</f>
        <v/>
      </c>
      <c r="H345" t="inlineStr"/>
    </row>
    <row r="346">
      <c r="A346" t="inlineStr">
        <is>
          <t>L_s32_ROI</t>
        </is>
      </c>
      <c r="B346" t="n">
        <v>-0.3</v>
      </c>
      <c r="C346" t="n">
        <v>1148</v>
      </c>
      <c r="D346">
        <f> 0.761</f>
        <v/>
      </c>
      <c r="E346" t="n">
        <v>-0.02</v>
      </c>
      <c r="F346" t="inlineStr">
        <is>
          <t>[-0.14, 0.10]</t>
        </is>
      </c>
      <c r="G346">
        <f> 0.997</f>
        <v/>
      </c>
      <c r="H346" t="inlineStr"/>
    </row>
    <row r="347">
      <c r="A347" t="inlineStr">
        <is>
          <t>L_pOFC_ROI</t>
        </is>
      </c>
      <c r="B347" t="n">
        <v>0.97</v>
      </c>
      <c r="C347" t="n">
        <v>1148</v>
      </c>
      <c r="D347">
        <f> 0.332</f>
        <v/>
      </c>
      <c r="E347" t="n">
        <v>0.06</v>
      </c>
      <c r="F347" t="inlineStr">
        <is>
          <t>[-0.06, 0.18]</t>
        </is>
      </c>
      <c r="G347">
        <f> 0.997</f>
        <v/>
      </c>
      <c r="H347" t="inlineStr"/>
    </row>
    <row r="348">
      <c r="A348" t="inlineStr">
        <is>
          <t>L_PoI1_ROI</t>
        </is>
      </c>
      <c r="B348" t="n">
        <v>1.48</v>
      </c>
      <c r="C348" t="n">
        <v>1148</v>
      </c>
      <c r="D348">
        <f> 0.140</f>
        <v/>
      </c>
      <c r="E348" t="n">
        <v>0.09</v>
      </c>
      <c r="F348" t="inlineStr">
        <is>
          <t>[-0.03, 0.21]</t>
        </is>
      </c>
      <c r="G348">
        <f> 0.997</f>
        <v/>
      </c>
      <c r="H348" t="inlineStr"/>
    </row>
    <row r="349">
      <c r="A349" t="inlineStr">
        <is>
          <t>L_Ig_ROI</t>
        </is>
      </c>
      <c r="B349" t="n">
        <v>1.76</v>
      </c>
      <c r="C349" t="n">
        <v>1148</v>
      </c>
      <c r="D349">
        <f> 0.079</f>
        <v/>
      </c>
      <c r="E349" t="n">
        <v>0.11</v>
      </c>
      <c r="F349" t="inlineStr">
        <is>
          <t>[-0.01, 0.23]</t>
        </is>
      </c>
      <c r="G349">
        <f> 0.997</f>
        <v/>
      </c>
      <c r="H349" t="inlineStr"/>
    </row>
    <row r="350">
      <c r="A350" t="inlineStr">
        <is>
          <t>L_FOP5_ROI</t>
        </is>
      </c>
      <c r="B350" t="n">
        <v>0.38</v>
      </c>
      <c r="C350" t="n">
        <v>1148</v>
      </c>
      <c r="D350">
        <f> 0.707</f>
        <v/>
      </c>
      <c r="E350" t="n">
        <v>0.02</v>
      </c>
      <c r="F350" t="inlineStr">
        <is>
          <t>[-0.10, 0.15]</t>
        </is>
      </c>
      <c r="G350">
        <f> 0.997</f>
        <v/>
      </c>
      <c r="H350" t="inlineStr"/>
    </row>
    <row r="351">
      <c r="A351" t="inlineStr">
        <is>
          <t>L_p10p_ROI</t>
        </is>
      </c>
      <c r="B351" t="n">
        <v>0.8</v>
      </c>
      <c r="C351" t="n">
        <v>1148</v>
      </c>
      <c r="D351">
        <f> 0.423</f>
        <v/>
      </c>
      <c r="E351" t="n">
        <v>0.05</v>
      </c>
      <c r="F351" t="inlineStr">
        <is>
          <t>[-0.07, 0.17]</t>
        </is>
      </c>
      <c r="G351">
        <f> 0.997</f>
        <v/>
      </c>
      <c r="H351" t="inlineStr"/>
    </row>
    <row r="352">
      <c r="A352" t="inlineStr">
        <is>
          <t>L_p47r_ROI</t>
        </is>
      </c>
      <c r="B352" t="n">
        <v>1.61</v>
      </c>
      <c r="C352" t="n">
        <v>1148</v>
      </c>
      <c r="D352">
        <f> 0.107</f>
        <v/>
      </c>
      <c r="E352" t="n">
        <v>0.1</v>
      </c>
      <c r="F352" t="inlineStr">
        <is>
          <t>[-0.02, 0.22]</t>
        </is>
      </c>
      <c r="G352">
        <f> 0.997</f>
        <v/>
      </c>
      <c r="H352" t="inlineStr"/>
    </row>
    <row r="353">
      <c r="A353" t="inlineStr">
        <is>
          <t>L_TGv_ROI</t>
        </is>
      </c>
      <c r="B353" t="n">
        <v>1.52</v>
      </c>
      <c r="C353" t="n">
        <v>1148</v>
      </c>
      <c r="D353">
        <f> 0.129</f>
        <v/>
      </c>
      <c r="E353" t="n">
        <v>0.1</v>
      </c>
      <c r="F353" t="inlineStr">
        <is>
          <t>[-0.03, 0.22]</t>
        </is>
      </c>
      <c r="G353">
        <f> 0.997</f>
        <v/>
      </c>
      <c r="H353" t="inlineStr"/>
    </row>
    <row r="354">
      <c r="A354" t="inlineStr">
        <is>
          <t>L_MBelt_ROI</t>
        </is>
      </c>
      <c r="B354" t="n">
        <v>0.42</v>
      </c>
      <c r="C354" t="n">
        <v>1148</v>
      </c>
      <c r="D354">
        <f> 0.677</f>
        <v/>
      </c>
      <c r="E354" t="n">
        <v>0.03</v>
      </c>
      <c r="F354" t="inlineStr">
        <is>
          <t>[-0.10, 0.15]</t>
        </is>
      </c>
      <c r="G354">
        <f> 0.997</f>
        <v/>
      </c>
      <c r="H354" t="inlineStr"/>
    </row>
    <row r="355">
      <c r="A355" t="inlineStr">
        <is>
          <t>L_LBelt_ROI</t>
        </is>
      </c>
      <c r="B355" t="n">
        <v>0.11</v>
      </c>
      <c r="C355" t="n">
        <v>1148</v>
      </c>
      <c r="D355">
        <f> 0.909</f>
        <v/>
      </c>
      <c r="E355" t="n">
        <v>0.01</v>
      </c>
      <c r="F355" t="inlineStr">
        <is>
          <t>[-0.11, 0.13]</t>
        </is>
      </c>
      <c r="G355">
        <f> 0.997</f>
        <v/>
      </c>
      <c r="H355" t="inlineStr"/>
    </row>
    <row r="356">
      <c r="A356" t="inlineStr">
        <is>
          <t>L_A4_ROI</t>
        </is>
      </c>
      <c r="B356" t="n">
        <v>0.02</v>
      </c>
      <c r="C356" t="n">
        <v>1148</v>
      </c>
      <c r="D356">
        <f> 0.987</f>
        <v/>
      </c>
      <c r="E356" t="n">
        <v>0</v>
      </c>
      <c r="F356" t="inlineStr">
        <is>
          <t>[-0.12, 0.12]</t>
        </is>
      </c>
      <c r="G356">
        <f> 0.997</f>
        <v/>
      </c>
      <c r="H356" t="inlineStr"/>
    </row>
    <row r="357">
      <c r="A357" t="inlineStr">
        <is>
          <t>L_STSva_ROI</t>
        </is>
      </c>
      <c r="B357" t="n">
        <v>2.64</v>
      </c>
      <c r="C357" t="n">
        <v>1148</v>
      </c>
      <c r="D357">
        <f> 0.008</f>
        <v/>
      </c>
      <c r="E357" t="n">
        <v>0.16</v>
      </c>
      <c r="F357" t="inlineStr">
        <is>
          <t>[0.04, 0.29]</t>
        </is>
      </c>
      <c r="G357">
        <f> 0.997</f>
        <v/>
      </c>
      <c r="H357" t="inlineStr"/>
    </row>
    <row r="358">
      <c r="A358" t="inlineStr">
        <is>
          <t>L_TE1m_ROI</t>
        </is>
      </c>
      <c r="B358" t="n">
        <v>0.77</v>
      </c>
      <c r="C358" t="n">
        <v>1148</v>
      </c>
      <c r="D358">
        <f> 0.440</f>
        <v/>
      </c>
      <c r="E358" t="n">
        <v>0.05</v>
      </c>
      <c r="F358" t="inlineStr">
        <is>
          <t>[-0.07, 0.17]</t>
        </is>
      </c>
      <c r="G358">
        <f> 0.997</f>
        <v/>
      </c>
      <c r="H358" t="inlineStr"/>
    </row>
    <row r="359">
      <c r="A359" t="inlineStr">
        <is>
          <t>L_PI_ROI</t>
        </is>
      </c>
      <c r="B359" t="n">
        <v>0.82</v>
      </c>
      <c r="C359" t="n">
        <v>1148</v>
      </c>
      <c r="D359">
        <f> 0.410</f>
        <v/>
      </c>
      <c r="E359" t="n">
        <v>0.05</v>
      </c>
      <c r="F359" t="inlineStr">
        <is>
          <t>[-0.07, 0.17]</t>
        </is>
      </c>
      <c r="G359">
        <f> 0.997</f>
        <v/>
      </c>
      <c r="H359" t="inlineStr"/>
    </row>
    <row r="360">
      <c r="A360" t="inlineStr">
        <is>
          <t>L_a32pr_ROI</t>
        </is>
      </c>
      <c r="B360" t="n">
        <v>-0.18</v>
      </c>
      <c r="C360" t="n">
        <v>1148</v>
      </c>
      <c r="D360">
        <f> 0.860</f>
        <v/>
      </c>
      <c r="E360" t="n">
        <v>-0.01</v>
      </c>
      <c r="F360" t="inlineStr">
        <is>
          <t>[-0.13, 0.11]</t>
        </is>
      </c>
      <c r="G360">
        <f> 0.997</f>
        <v/>
      </c>
      <c r="H360" t="inlineStr"/>
    </row>
    <row r="361">
      <c r="A361" t="inlineStr">
        <is>
          <t>L_p24_ROI</t>
        </is>
      </c>
      <c r="B361" t="n">
        <v>0.96</v>
      </c>
      <c r="C361" t="n">
        <v>1148</v>
      </c>
      <c r="D361">
        <f> 0.339</f>
        <v/>
      </c>
      <c r="E361" t="n">
        <v>0.06</v>
      </c>
      <c r="F361" t="inlineStr">
        <is>
          <t>[-0.06, 0.18]</t>
        </is>
      </c>
      <c r="G361">
        <f> 0.997</f>
        <v/>
      </c>
      <c r="H36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t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95% CI [d]</t>
        </is>
      </c>
      <c r="G1" s="1" t="inlineStr">
        <is>
          <t>p_FDR</t>
        </is>
      </c>
      <c r="H1" s="1" t="inlineStr">
        <is>
          <t>FDR sig.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t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95% CI [d]</t>
        </is>
      </c>
      <c r="G1" s="1" t="inlineStr">
        <is>
          <t>p_FDR</t>
        </is>
      </c>
      <c r="H1" s="1" t="inlineStr">
        <is>
          <t>FDR sig.</t>
        </is>
      </c>
    </row>
    <row r="2">
      <c r="A2" t="inlineStr">
        <is>
          <t>R_V1_ROI</t>
        </is>
      </c>
      <c r="B2" t="n">
        <v>-5.38</v>
      </c>
      <c r="C2" t="n">
        <v>821</v>
      </c>
      <c r="D2" t="inlineStr">
        <is>
          <t>&lt; .001</t>
        </is>
      </c>
      <c r="E2" t="n">
        <v>-0.38</v>
      </c>
      <c r="F2" t="inlineStr">
        <is>
          <t>[-0.51, -0.24]</t>
        </is>
      </c>
      <c r="G2" t="inlineStr">
        <is>
          <t>&lt; .001</t>
        </is>
      </c>
      <c r="H2" t="inlineStr">
        <is>
          <t>✓</t>
        </is>
      </c>
    </row>
    <row r="3">
      <c r="A3" t="inlineStr">
        <is>
          <t>R_MST_ROI</t>
        </is>
      </c>
      <c r="B3" t="n">
        <v>-4.11</v>
      </c>
      <c r="C3" t="n">
        <v>821</v>
      </c>
      <c r="D3" t="inlineStr">
        <is>
          <t>&lt; .001</t>
        </is>
      </c>
      <c r="E3" t="n">
        <v>-0.29</v>
      </c>
      <c r="F3" t="inlineStr">
        <is>
          <t>[-0.42, -0.15]</t>
        </is>
      </c>
      <c r="G3" t="inlineStr">
        <is>
          <t>&lt; .001</t>
        </is>
      </c>
      <c r="H3" t="inlineStr">
        <is>
          <t>✓</t>
        </is>
      </c>
    </row>
    <row r="4">
      <c r="A4" t="inlineStr">
        <is>
          <t>R_V6_ROI</t>
        </is>
      </c>
      <c r="B4" t="n">
        <v>-3.71</v>
      </c>
      <c r="C4" t="n">
        <v>821</v>
      </c>
      <c r="D4" t="inlineStr">
        <is>
          <t>&lt; .001</t>
        </is>
      </c>
      <c r="E4" t="n">
        <v>-0.26</v>
      </c>
      <c r="F4" t="inlineStr">
        <is>
          <t>[-0.40, -0.12]</t>
        </is>
      </c>
      <c r="G4" t="inlineStr">
        <is>
          <t>&lt; .001</t>
        </is>
      </c>
      <c r="H4" t="inlineStr">
        <is>
          <t>✓</t>
        </is>
      </c>
    </row>
    <row r="5">
      <c r="A5" t="inlineStr">
        <is>
          <t>R_V2_ROI</t>
        </is>
      </c>
      <c r="B5" t="n">
        <v>-5.57</v>
      </c>
      <c r="C5" t="n">
        <v>821</v>
      </c>
      <c r="D5" t="inlineStr">
        <is>
          <t>&lt; .001</t>
        </is>
      </c>
      <c r="E5" t="n">
        <v>-0.39</v>
      </c>
      <c r="F5" t="inlineStr">
        <is>
          <t>[-0.53, -0.25]</t>
        </is>
      </c>
      <c r="G5" t="inlineStr">
        <is>
          <t>&lt; .001</t>
        </is>
      </c>
      <c r="H5" t="inlineStr">
        <is>
          <t>✓</t>
        </is>
      </c>
    </row>
    <row r="6">
      <c r="A6" t="inlineStr">
        <is>
          <t>R_V3_ROI</t>
        </is>
      </c>
      <c r="B6" t="n">
        <v>-4.7</v>
      </c>
      <c r="C6" t="n">
        <v>821</v>
      </c>
      <c r="D6" t="inlineStr">
        <is>
          <t>&lt; .001</t>
        </is>
      </c>
      <c r="E6" t="n">
        <v>-0.33</v>
      </c>
      <c r="F6" t="inlineStr">
        <is>
          <t>[-0.47, -0.19]</t>
        </is>
      </c>
      <c r="G6" t="inlineStr">
        <is>
          <t>&lt; .001</t>
        </is>
      </c>
      <c r="H6" t="inlineStr">
        <is>
          <t>✓</t>
        </is>
      </c>
    </row>
    <row r="7">
      <c r="A7" t="inlineStr">
        <is>
          <t>R_V4_ROI</t>
        </is>
      </c>
      <c r="B7" t="n">
        <v>-4.69</v>
      </c>
      <c r="C7" t="n">
        <v>821</v>
      </c>
      <c r="D7" t="inlineStr">
        <is>
          <t>&lt; .001</t>
        </is>
      </c>
      <c r="E7" t="n">
        <v>-0.33</v>
      </c>
      <c r="F7" t="inlineStr">
        <is>
          <t>[-0.46, -0.19]</t>
        </is>
      </c>
      <c r="G7" t="inlineStr">
        <is>
          <t>&lt; .001</t>
        </is>
      </c>
      <c r="H7" t="inlineStr">
        <is>
          <t>✓</t>
        </is>
      </c>
    </row>
    <row r="8">
      <c r="A8" t="inlineStr">
        <is>
          <t>R_V8_ROI</t>
        </is>
      </c>
      <c r="B8" t="n">
        <v>-2.73</v>
      </c>
      <c r="C8" t="n">
        <v>821</v>
      </c>
      <c r="D8">
        <f> 0.007</f>
        <v/>
      </c>
      <c r="E8" t="n">
        <v>-0.19</v>
      </c>
      <c r="F8" t="inlineStr">
        <is>
          <t>[-0.33, -0.05]</t>
        </is>
      </c>
      <c r="G8">
        <f> 0.008</f>
        <v/>
      </c>
      <c r="H8" t="inlineStr">
        <is>
          <t>✓</t>
        </is>
      </c>
    </row>
    <row r="9">
      <c r="A9" t="inlineStr">
        <is>
          <t>R_4_ROI</t>
        </is>
      </c>
      <c r="B9" t="n">
        <v>-5.31</v>
      </c>
      <c r="C9" t="n">
        <v>821</v>
      </c>
      <c r="D9" t="inlineStr">
        <is>
          <t>&lt; .001</t>
        </is>
      </c>
      <c r="E9" t="n">
        <v>-0.37</v>
      </c>
      <c r="F9" t="inlineStr">
        <is>
          <t>[-0.51, -0.23]</t>
        </is>
      </c>
      <c r="G9" t="inlineStr">
        <is>
          <t>&lt; .001</t>
        </is>
      </c>
      <c r="H9" t="inlineStr">
        <is>
          <t>✓</t>
        </is>
      </c>
    </row>
    <row r="10">
      <c r="A10" t="inlineStr">
        <is>
          <t>R_3b_ROI</t>
        </is>
      </c>
      <c r="B10" t="n">
        <v>-5.15</v>
      </c>
      <c r="C10" t="n">
        <v>821</v>
      </c>
      <c r="D10" t="inlineStr">
        <is>
          <t>&lt; .001</t>
        </is>
      </c>
      <c r="E10" t="n">
        <v>-0.36</v>
      </c>
      <c r="F10" t="inlineStr">
        <is>
          <t>[-0.50, -0.22]</t>
        </is>
      </c>
      <c r="G10" t="inlineStr">
        <is>
          <t>&lt; .001</t>
        </is>
      </c>
      <c r="H10" t="inlineStr">
        <is>
          <t>✓</t>
        </is>
      </c>
    </row>
    <row r="11">
      <c r="A11" t="inlineStr">
        <is>
          <t>R_FEF_ROI</t>
        </is>
      </c>
      <c r="B11" t="n">
        <v>-4.76</v>
      </c>
      <c r="C11" t="n">
        <v>821</v>
      </c>
      <c r="D11" t="inlineStr">
        <is>
          <t>&lt; .001</t>
        </is>
      </c>
      <c r="E11" t="n">
        <v>-0.33</v>
      </c>
      <c r="F11" t="inlineStr">
        <is>
          <t>[-0.47, -0.19]</t>
        </is>
      </c>
      <c r="G11" t="inlineStr">
        <is>
          <t>&lt; .001</t>
        </is>
      </c>
      <c r="H11" t="inlineStr">
        <is>
          <t>✓</t>
        </is>
      </c>
    </row>
    <row r="12">
      <c r="A12" t="inlineStr">
        <is>
          <t>R_PEF_ROI</t>
        </is>
      </c>
      <c r="B12" t="n">
        <v>-3.75</v>
      </c>
      <c r="C12" t="n">
        <v>821</v>
      </c>
      <c r="D12" t="inlineStr">
        <is>
          <t>&lt; .001</t>
        </is>
      </c>
      <c r="E12" t="n">
        <v>-0.26</v>
      </c>
      <c r="F12" t="inlineStr">
        <is>
          <t>[-0.40, -0.12]</t>
        </is>
      </c>
      <c r="G12" t="inlineStr">
        <is>
          <t>&lt; .001</t>
        </is>
      </c>
      <c r="H12" t="inlineStr">
        <is>
          <t>✓</t>
        </is>
      </c>
    </row>
    <row r="13">
      <c r="A13" t="inlineStr">
        <is>
          <t>R_55b_ROI</t>
        </is>
      </c>
      <c r="B13" t="n">
        <v>-5.6</v>
      </c>
      <c r="C13" t="n">
        <v>821</v>
      </c>
      <c r="D13" t="inlineStr">
        <is>
          <t>&lt; .001</t>
        </is>
      </c>
      <c r="E13" t="n">
        <v>-0.39</v>
      </c>
      <c r="F13" t="inlineStr">
        <is>
          <t>[-0.53, -0.25]</t>
        </is>
      </c>
      <c r="G13" t="inlineStr">
        <is>
          <t>&lt; .001</t>
        </is>
      </c>
      <c r="H13" t="inlineStr">
        <is>
          <t>✓</t>
        </is>
      </c>
    </row>
    <row r="14">
      <c r="A14" t="inlineStr">
        <is>
          <t>R_V3A_ROI</t>
        </is>
      </c>
      <c r="B14" t="n">
        <v>-3.4</v>
      </c>
      <c r="C14" t="n">
        <v>821</v>
      </c>
      <c r="D14" t="inlineStr">
        <is>
          <t>&lt; .001</t>
        </is>
      </c>
      <c r="E14" t="n">
        <v>-0.24</v>
      </c>
      <c r="F14" t="inlineStr">
        <is>
          <t>[-0.37, -0.10]</t>
        </is>
      </c>
      <c r="G14">
        <f> 0.001</f>
        <v/>
      </c>
      <c r="H14" t="inlineStr">
        <is>
          <t>✓</t>
        </is>
      </c>
    </row>
    <row r="15">
      <c r="A15" t="inlineStr">
        <is>
          <t>R_RSC_ROI</t>
        </is>
      </c>
      <c r="B15" t="n">
        <v>-2.92</v>
      </c>
      <c r="C15" t="n">
        <v>821</v>
      </c>
      <c r="D15">
        <f> 0.004</f>
        <v/>
      </c>
      <c r="E15" t="n">
        <v>-0.2</v>
      </c>
      <c r="F15" t="inlineStr">
        <is>
          <t>[-0.34, -0.07]</t>
        </is>
      </c>
      <c r="G15">
        <f> 0.005</f>
        <v/>
      </c>
      <c r="H15" t="inlineStr">
        <is>
          <t>✓</t>
        </is>
      </c>
    </row>
    <row r="16">
      <c r="A16" t="inlineStr">
        <is>
          <t>R_POS2_ROI</t>
        </is>
      </c>
      <c r="B16" t="n">
        <v>-3.48</v>
      </c>
      <c r="C16" t="n">
        <v>821</v>
      </c>
      <c r="D16" t="inlineStr">
        <is>
          <t>&lt; .001</t>
        </is>
      </c>
      <c r="E16" t="n">
        <v>-0.24</v>
      </c>
      <c r="F16" t="inlineStr">
        <is>
          <t>[-0.38, -0.11]</t>
        </is>
      </c>
      <c r="G16" t="inlineStr">
        <is>
          <t>&lt; .001</t>
        </is>
      </c>
      <c r="H16" t="inlineStr">
        <is>
          <t>✓</t>
        </is>
      </c>
    </row>
    <row r="17">
      <c r="A17" t="inlineStr">
        <is>
          <t>R_V7_ROI</t>
        </is>
      </c>
      <c r="B17" t="n">
        <v>-2.55</v>
      </c>
      <c r="C17" t="n">
        <v>821</v>
      </c>
      <c r="D17">
        <f> 0.011</f>
        <v/>
      </c>
      <c r="E17" t="n">
        <v>-0.18</v>
      </c>
      <c r="F17" t="inlineStr">
        <is>
          <t>[-0.31, -0.04]</t>
        </is>
      </c>
      <c r="G17">
        <f> 0.014</f>
        <v/>
      </c>
      <c r="H17" t="inlineStr">
        <is>
          <t>✓</t>
        </is>
      </c>
    </row>
    <row r="18">
      <c r="A18" t="inlineStr">
        <is>
          <t>R_IPS1_ROI</t>
        </is>
      </c>
      <c r="B18" t="n">
        <v>-3.18</v>
      </c>
      <c r="C18" t="n">
        <v>821</v>
      </c>
      <c r="D18">
        <f> 0.002</f>
        <v/>
      </c>
      <c r="E18" t="n">
        <v>-0.22</v>
      </c>
      <c r="F18" t="inlineStr">
        <is>
          <t>[-0.36, -0.08]</t>
        </is>
      </c>
      <c r="G18">
        <f> 0.002</f>
        <v/>
      </c>
      <c r="H18" t="inlineStr">
        <is>
          <t>✓</t>
        </is>
      </c>
    </row>
    <row r="19">
      <c r="A19" t="inlineStr">
        <is>
          <t>R_FFC_ROI</t>
        </is>
      </c>
      <c r="B19" t="n">
        <v>-4.01</v>
      </c>
      <c r="C19" t="n">
        <v>821</v>
      </c>
      <c r="D19" t="inlineStr">
        <is>
          <t>&lt; .001</t>
        </is>
      </c>
      <c r="E19" t="n">
        <v>-0.28</v>
      </c>
      <c r="F19" t="inlineStr">
        <is>
          <t>[-0.42, -0.14]</t>
        </is>
      </c>
      <c r="G19" t="inlineStr">
        <is>
          <t>&lt; .001</t>
        </is>
      </c>
      <c r="H19" t="inlineStr">
        <is>
          <t>✓</t>
        </is>
      </c>
    </row>
    <row r="20">
      <c r="A20" t="inlineStr">
        <is>
          <t>R_V3B_ROI</t>
        </is>
      </c>
      <c r="B20" t="n">
        <v>-3.46</v>
      </c>
      <c r="C20" t="n">
        <v>821</v>
      </c>
      <c r="D20" t="inlineStr">
        <is>
          <t>&lt; .001</t>
        </is>
      </c>
      <c r="E20" t="n">
        <v>-0.24</v>
      </c>
      <c r="F20" t="inlineStr">
        <is>
          <t>[-0.38, -0.10]</t>
        </is>
      </c>
      <c r="G20" t="inlineStr">
        <is>
          <t>&lt; .001</t>
        </is>
      </c>
      <c r="H20" t="inlineStr">
        <is>
          <t>✓</t>
        </is>
      </c>
    </row>
    <row r="21">
      <c r="A21" t="inlineStr">
        <is>
          <t>R_LO1_ROI</t>
        </is>
      </c>
      <c r="B21" t="n">
        <v>-3.95</v>
      </c>
      <c r="C21" t="n">
        <v>821</v>
      </c>
      <c r="D21" t="inlineStr">
        <is>
          <t>&lt; .001</t>
        </is>
      </c>
      <c r="E21" t="n">
        <v>-0.28</v>
      </c>
      <c r="F21" t="inlineStr">
        <is>
          <t>[-0.41, -0.14]</t>
        </is>
      </c>
      <c r="G21" t="inlineStr">
        <is>
          <t>&lt; .001</t>
        </is>
      </c>
      <c r="H21" t="inlineStr">
        <is>
          <t>✓</t>
        </is>
      </c>
    </row>
    <row r="22">
      <c r="A22" t="inlineStr">
        <is>
          <t>R_LO2_ROI</t>
        </is>
      </c>
      <c r="B22" t="n">
        <v>-3.7</v>
      </c>
      <c r="C22" t="n">
        <v>821</v>
      </c>
      <c r="D22" t="inlineStr">
        <is>
          <t>&lt; .001</t>
        </is>
      </c>
      <c r="E22" t="n">
        <v>-0.26</v>
      </c>
      <c r="F22" t="inlineStr">
        <is>
          <t>[-0.39, -0.12]</t>
        </is>
      </c>
      <c r="G22" t="inlineStr">
        <is>
          <t>&lt; .001</t>
        </is>
      </c>
      <c r="H22" t="inlineStr">
        <is>
          <t>✓</t>
        </is>
      </c>
    </row>
    <row r="23">
      <c r="A23" t="inlineStr">
        <is>
          <t>R_PIT_ROI</t>
        </is>
      </c>
      <c r="B23" t="n">
        <v>-3.56</v>
      </c>
      <c r="C23" t="n">
        <v>821</v>
      </c>
      <c r="D23" t="inlineStr">
        <is>
          <t>&lt; .001</t>
        </is>
      </c>
      <c r="E23" t="n">
        <v>-0.25</v>
      </c>
      <c r="F23" t="inlineStr">
        <is>
          <t>[-0.39, -0.11]</t>
        </is>
      </c>
      <c r="G23" t="inlineStr">
        <is>
          <t>&lt; .001</t>
        </is>
      </c>
      <c r="H23" t="inlineStr">
        <is>
          <t>✓</t>
        </is>
      </c>
    </row>
    <row r="24">
      <c r="A24" t="inlineStr">
        <is>
          <t>R_MT_ROI</t>
        </is>
      </c>
      <c r="B24" t="n">
        <v>-3.27</v>
      </c>
      <c r="C24" t="n">
        <v>821</v>
      </c>
      <c r="D24">
        <f> 0.001</f>
        <v/>
      </c>
      <c r="E24" t="n">
        <v>-0.23</v>
      </c>
      <c r="F24" t="inlineStr">
        <is>
          <t>[-0.37, -0.09]</t>
        </is>
      </c>
      <c r="G24">
        <f> 0.002</f>
        <v/>
      </c>
      <c r="H24" t="inlineStr">
        <is>
          <t>✓</t>
        </is>
      </c>
    </row>
    <row r="25">
      <c r="A25" t="inlineStr">
        <is>
          <t>R_A1_ROI</t>
        </is>
      </c>
      <c r="B25" t="n">
        <v>-5.57</v>
      </c>
      <c r="C25" t="n">
        <v>821</v>
      </c>
      <c r="D25" t="inlineStr">
        <is>
          <t>&lt; .001</t>
        </is>
      </c>
      <c r="E25" t="n">
        <v>-0.39</v>
      </c>
      <c r="F25" t="inlineStr">
        <is>
          <t>[-0.53, -0.25]</t>
        </is>
      </c>
      <c r="G25" t="inlineStr">
        <is>
          <t>&lt; .001</t>
        </is>
      </c>
      <c r="H25" t="inlineStr">
        <is>
          <t>✓</t>
        </is>
      </c>
    </row>
    <row r="26">
      <c r="A26" t="inlineStr">
        <is>
          <t>R_PSL_ROI</t>
        </is>
      </c>
      <c r="B26" t="n">
        <v>-4.71</v>
      </c>
      <c r="C26" t="n">
        <v>821</v>
      </c>
      <c r="D26" t="inlineStr">
        <is>
          <t>&lt; .001</t>
        </is>
      </c>
      <c r="E26" t="n">
        <v>-0.33</v>
      </c>
      <c r="F26" t="inlineStr">
        <is>
          <t>[-0.47, -0.19]</t>
        </is>
      </c>
      <c r="G26" t="inlineStr">
        <is>
          <t>&lt; .001</t>
        </is>
      </c>
      <c r="H26" t="inlineStr">
        <is>
          <t>✓</t>
        </is>
      </c>
    </row>
    <row r="27">
      <c r="A27" t="inlineStr">
        <is>
          <t>R_SFL_ROI</t>
        </is>
      </c>
      <c r="B27" t="n">
        <v>-3.64</v>
      </c>
      <c r="C27" t="n">
        <v>821</v>
      </c>
      <c r="D27" t="inlineStr">
        <is>
          <t>&lt; .001</t>
        </is>
      </c>
      <c r="E27" t="n">
        <v>-0.25</v>
      </c>
      <c r="F27" t="inlineStr">
        <is>
          <t>[-0.39, -0.12]</t>
        </is>
      </c>
      <c r="G27" t="inlineStr">
        <is>
          <t>&lt; .001</t>
        </is>
      </c>
      <c r="H27" t="inlineStr">
        <is>
          <t>✓</t>
        </is>
      </c>
    </row>
    <row r="28">
      <c r="A28" t="inlineStr">
        <is>
          <t>R_PCV_ROI</t>
        </is>
      </c>
      <c r="B28" t="n">
        <v>-4.37</v>
      </c>
      <c r="C28" t="n">
        <v>821</v>
      </c>
      <c r="D28" t="inlineStr">
        <is>
          <t>&lt; .001</t>
        </is>
      </c>
      <c r="E28" t="n">
        <v>-0.3</v>
      </c>
      <c r="F28" t="inlineStr">
        <is>
          <t>[-0.44, -0.17]</t>
        </is>
      </c>
      <c r="G28" t="inlineStr">
        <is>
          <t>&lt; .001</t>
        </is>
      </c>
      <c r="H28" t="inlineStr">
        <is>
          <t>✓</t>
        </is>
      </c>
    </row>
    <row r="29">
      <c r="A29" t="inlineStr">
        <is>
          <t>R_STV_ROI</t>
        </is>
      </c>
      <c r="B29" t="n">
        <v>-4.68</v>
      </c>
      <c r="C29" t="n">
        <v>821</v>
      </c>
      <c r="D29" t="inlineStr">
        <is>
          <t>&lt; .001</t>
        </is>
      </c>
      <c r="E29" t="n">
        <v>-0.33</v>
      </c>
      <c r="F29" t="inlineStr">
        <is>
          <t>[-0.46, -0.19]</t>
        </is>
      </c>
      <c r="G29" t="inlineStr">
        <is>
          <t>&lt; .001</t>
        </is>
      </c>
      <c r="H29" t="inlineStr">
        <is>
          <t>✓</t>
        </is>
      </c>
    </row>
    <row r="30">
      <c r="A30" t="inlineStr">
        <is>
          <t>R_7Pm_ROI</t>
        </is>
      </c>
      <c r="B30" t="n">
        <v>-2.2</v>
      </c>
      <c r="C30" t="n">
        <v>821</v>
      </c>
      <c r="D30">
        <f> 0.028</f>
        <v/>
      </c>
      <c r="E30" t="n">
        <v>-0.15</v>
      </c>
      <c r="F30" t="inlineStr">
        <is>
          <t>[-0.29, -0.02]</t>
        </is>
      </c>
      <c r="G30">
        <f> 0.032</f>
        <v/>
      </c>
      <c r="H30" t="inlineStr">
        <is>
          <t>✓</t>
        </is>
      </c>
    </row>
    <row r="31">
      <c r="A31" t="inlineStr">
        <is>
          <t>R_7m_ROI</t>
        </is>
      </c>
      <c r="B31" t="n">
        <v>-3.65</v>
      </c>
      <c r="C31" t="n">
        <v>821</v>
      </c>
      <c r="D31" t="inlineStr">
        <is>
          <t>&lt; .001</t>
        </is>
      </c>
      <c r="E31" t="n">
        <v>-0.25</v>
      </c>
      <c r="F31" t="inlineStr">
        <is>
          <t>[-0.39, -0.12]</t>
        </is>
      </c>
      <c r="G31" t="inlineStr">
        <is>
          <t>&lt; .001</t>
        </is>
      </c>
      <c r="H31" t="inlineStr">
        <is>
          <t>✓</t>
        </is>
      </c>
    </row>
    <row r="32">
      <c r="A32" t="inlineStr">
        <is>
          <t>R_POS1_ROI</t>
        </is>
      </c>
      <c r="B32" t="n">
        <v>-4.82</v>
      </c>
      <c r="C32" t="n">
        <v>821</v>
      </c>
      <c r="D32" t="inlineStr">
        <is>
          <t>&lt; .001</t>
        </is>
      </c>
      <c r="E32" t="n">
        <v>-0.34</v>
      </c>
      <c r="F32" t="inlineStr">
        <is>
          <t>[-0.47, -0.20]</t>
        </is>
      </c>
      <c r="G32" t="inlineStr">
        <is>
          <t>&lt; .001</t>
        </is>
      </c>
      <c r="H32" t="inlineStr">
        <is>
          <t>✓</t>
        </is>
      </c>
    </row>
    <row r="33">
      <c r="A33" t="inlineStr">
        <is>
          <t>R_23d_ROI</t>
        </is>
      </c>
      <c r="B33" t="n">
        <v>-5.17</v>
      </c>
      <c r="C33" t="n">
        <v>821</v>
      </c>
      <c r="D33" t="inlineStr">
        <is>
          <t>&lt; .001</t>
        </is>
      </c>
      <c r="E33" t="n">
        <v>-0.36</v>
      </c>
      <c r="F33" t="inlineStr">
        <is>
          <t>[-0.50, -0.22]</t>
        </is>
      </c>
      <c r="G33" t="inlineStr">
        <is>
          <t>&lt; .001</t>
        </is>
      </c>
      <c r="H33" t="inlineStr">
        <is>
          <t>✓</t>
        </is>
      </c>
    </row>
    <row r="34">
      <c r="A34" t="inlineStr">
        <is>
          <t>R_v23ab_ROI</t>
        </is>
      </c>
      <c r="B34" t="n">
        <v>-4.37</v>
      </c>
      <c r="C34" t="n">
        <v>821</v>
      </c>
      <c r="D34" t="inlineStr">
        <is>
          <t>&lt; .001</t>
        </is>
      </c>
      <c r="E34" t="n">
        <v>-0.3</v>
      </c>
      <c r="F34" t="inlineStr">
        <is>
          <t>[-0.44, -0.17]</t>
        </is>
      </c>
      <c r="G34" t="inlineStr">
        <is>
          <t>&lt; .001</t>
        </is>
      </c>
      <c r="H34" t="inlineStr">
        <is>
          <t>✓</t>
        </is>
      </c>
    </row>
    <row r="35">
      <c r="A35" t="inlineStr">
        <is>
          <t>R_d23ab_ROI</t>
        </is>
      </c>
      <c r="B35" t="n">
        <v>-4.52</v>
      </c>
      <c r="C35" t="n">
        <v>821</v>
      </c>
      <c r="D35" t="inlineStr">
        <is>
          <t>&lt; .001</t>
        </is>
      </c>
      <c r="E35" t="n">
        <v>-0.32</v>
      </c>
      <c r="F35" t="inlineStr">
        <is>
          <t>[-0.45, -0.18]</t>
        </is>
      </c>
      <c r="G35" t="inlineStr">
        <is>
          <t>&lt; .001</t>
        </is>
      </c>
      <c r="H35" t="inlineStr">
        <is>
          <t>✓</t>
        </is>
      </c>
    </row>
    <row r="36">
      <c r="A36" t="inlineStr">
        <is>
          <t>R_31pv_ROI</t>
        </is>
      </c>
      <c r="B36" t="n">
        <v>-4.3</v>
      </c>
      <c r="C36" t="n">
        <v>821</v>
      </c>
      <c r="D36" t="inlineStr">
        <is>
          <t>&lt; .001</t>
        </is>
      </c>
      <c r="E36" t="n">
        <v>-0.3</v>
      </c>
      <c r="F36" t="inlineStr">
        <is>
          <t>[-0.44, -0.16]</t>
        </is>
      </c>
      <c r="G36" t="inlineStr">
        <is>
          <t>&lt; .001</t>
        </is>
      </c>
      <c r="H36" t="inlineStr">
        <is>
          <t>✓</t>
        </is>
      </c>
    </row>
    <row r="37">
      <c r="A37" t="inlineStr">
        <is>
          <t>R_5m_ROI</t>
        </is>
      </c>
      <c r="B37" t="n">
        <v>-3.46</v>
      </c>
      <c r="C37" t="n">
        <v>821</v>
      </c>
      <c r="D37" t="inlineStr">
        <is>
          <t>&lt; .001</t>
        </is>
      </c>
      <c r="E37" t="n">
        <v>-0.24</v>
      </c>
      <c r="F37" t="inlineStr">
        <is>
          <t>[-0.38, -0.10]</t>
        </is>
      </c>
      <c r="G37" t="inlineStr">
        <is>
          <t>&lt; .001</t>
        </is>
      </c>
      <c r="H37" t="inlineStr">
        <is>
          <t>✓</t>
        </is>
      </c>
    </row>
    <row r="38">
      <c r="A38" t="inlineStr">
        <is>
          <t>R_5mv_ROI</t>
        </is>
      </c>
      <c r="B38" t="n">
        <v>-3.18</v>
      </c>
      <c r="C38" t="n">
        <v>821</v>
      </c>
      <c r="D38">
        <f> 0.002</f>
        <v/>
      </c>
      <c r="E38" t="n">
        <v>-0.22</v>
      </c>
      <c r="F38" t="inlineStr">
        <is>
          <t>[-0.36, -0.08]</t>
        </is>
      </c>
      <c r="G38">
        <f> 0.002</f>
        <v/>
      </c>
      <c r="H38" t="inlineStr">
        <is>
          <t>✓</t>
        </is>
      </c>
    </row>
    <row r="39">
      <c r="A39" t="inlineStr">
        <is>
          <t>R_23c_ROI</t>
        </is>
      </c>
      <c r="B39" t="n">
        <v>-4.6</v>
      </c>
      <c r="C39" t="n">
        <v>821</v>
      </c>
      <c r="D39" t="inlineStr">
        <is>
          <t>&lt; .001</t>
        </is>
      </c>
      <c r="E39" t="n">
        <v>-0.32</v>
      </c>
      <c r="F39" t="inlineStr">
        <is>
          <t>[-0.46, -0.18]</t>
        </is>
      </c>
      <c r="G39" t="inlineStr">
        <is>
          <t>&lt; .001</t>
        </is>
      </c>
      <c r="H39" t="inlineStr">
        <is>
          <t>✓</t>
        </is>
      </c>
    </row>
    <row r="40">
      <c r="A40" t="inlineStr">
        <is>
          <t>R_5L_ROI</t>
        </is>
      </c>
      <c r="B40" t="n">
        <v>-3.26</v>
      </c>
      <c r="C40" t="n">
        <v>821</v>
      </c>
      <c r="D40">
        <f> 0.001</f>
        <v/>
      </c>
      <c r="E40" t="n">
        <v>-0.23</v>
      </c>
      <c r="F40" t="inlineStr">
        <is>
          <t>[-0.36, -0.09]</t>
        </is>
      </c>
      <c r="G40">
        <f> 0.002</f>
        <v/>
      </c>
      <c r="H40" t="inlineStr">
        <is>
          <t>✓</t>
        </is>
      </c>
    </row>
    <row r="41">
      <c r="A41" t="inlineStr">
        <is>
          <t>R_24dd_ROI</t>
        </is>
      </c>
      <c r="B41" t="n">
        <v>-5.03</v>
      </c>
      <c r="C41" t="n">
        <v>821</v>
      </c>
      <c r="D41" t="inlineStr">
        <is>
          <t>&lt; .001</t>
        </is>
      </c>
      <c r="E41" t="n">
        <v>-0.35</v>
      </c>
      <c r="F41" t="inlineStr">
        <is>
          <t>[-0.49, -0.21]</t>
        </is>
      </c>
      <c r="G41" t="inlineStr">
        <is>
          <t>&lt; .001</t>
        </is>
      </c>
      <c r="H41" t="inlineStr">
        <is>
          <t>✓</t>
        </is>
      </c>
    </row>
    <row r="42">
      <c r="A42" t="inlineStr">
        <is>
          <t>R_24dv_ROI</t>
        </is>
      </c>
      <c r="B42" t="n">
        <v>-5.15</v>
      </c>
      <c r="C42" t="n">
        <v>821</v>
      </c>
      <c r="D42" t="inlineStr">
        <is>
          <t>&lt; .001</t>
        </is>
      </c>
      <c r="E42" t="n">
        <v>-0.36</v>
      </c>
      <c r="F42" t="inlineStr">
        <is>
          <t>[-0.50, -0.22]</t>
        </is>
      </c>
      <c r="G42" t="inlineStr">
        <is>
          <t>&lt; .001</t>
        </is>
      </c>
      <c r="H42" t="inlineStr">
        <is>
          <t>✓</t>
        </is>
      </c>
    </row>
    <row r="43">
      <c r="A43" t="inlineStr">
        <is>
          <t>R_7AL_ROI</t>
        </is>
      </c>
      <c r="B43" t="n">
        <v>-3.39</v>
      </c>
      <c r="C43" t="n">
        <v>821</v>
      </c>
      <c r="D43" t="inlineStr">
        <is>
          <t>&lt; .001</t>
        </is>
      </c>
      <c r="E43" t="n">
        <v>-0.24</v>
      </c>
      <c r="F43" t="inlineStr">
        <is>
          <t>[-0.37, -0.10]</t>
        </is>
      </c>
      <c r="G43">
        <f> 0.001</f>
        <v/>
      </c>
      <c r="H43" t="inlineStr">
        <is>
          <t>✓</t>
        </is>
      </c>
    </row>
    <row r="44">
      <c r="A44" t="inlineStr">
        <is>
          <t>R_SCEF_ROI</t>
        </is>
      </c>
      <c r="B44" t="n">
        <v>-5.32</v>
      </c>
      <c r="C44" t="n">
        <v>821</v>
      </c>
      <c r="D44" t="inlineStr">
        <is>
          <t>&lt; .001</t>
        </is>
      </c>
      <c r="E44" t="n">
        <v>-0.37</v>
      </c>
      <c r="F44" t="inlineStr">
        <is>
          <t>[-0.51, -0.23]</t>
        </is>
      </c>
      <c r="G44" t="inlineStr">
        <is>
          <t>&lt; .001</t>
        </is>
      </c>
      <c r="H44" t="inlineStr">
        <is>
          <t>✓</t>
        </is>
      </c>
    </row>
    <row r="45">
      <c r="A45" t="inlineStr">
        <is>
          <t>R_6ma_ROI</t>
        </is>
      </c>
      <c r="B45" t="n">
        <v>-3.98</v>
      </c>
      <c r="C45" t="n">
        <v>821</v>
      </c>
      <c r="D45" t="inlineStr">
        <is>
          <t>&lt; .001</t>
        </is>
      </c>
      <c r="E45" t="n">
        <v>-0.28</v>
      </c>
      <c r="F45" t="inlineStr">
        <is>
          <t>[-0.41, -0.14]</t>
        </is>
      </c>
      <c r="G45" t="inlineStr">
        <is>
          <t>&lt; .001</t>
        </is>
      </c>
      <c r="H45" t="inlineStr">
        <is>
          <t>✓</t>
        </is>
      </c>
    </row>
    <row r="46">
      <c r="A46" t="inlineStr">
        <is>
          <t>R_7Am_ROI</t>
        </is>
      </c>
      <c r="B46" t="n">
        <v>-1.73</v>
      </c>
      <c r="C46" t="n">
        <v>821</v>
      </c>
      <c r="D46">
        <f> 0.085</f>
        <v/>
      </c>
      <c r="E46" t="n">
        <v>-0.12</v>
      </c>
      <c r="F46" t="inlineStr">
        <is>
          <t>[-0.26, 0.02]</t>
        </is>
      </c>
      <c r="G46">
        <f> 0.091</f>
        <v/>
      </c>
      <c r="H46" t="inlineStr"/>
    </row>
    <row r="47">
      <c r="A47" t="inlineStr">
        <is>
          <t>R_7PL_ROI</t>
        </is>
      </c>
      <c r="B47" t="n">
        <v>-2.72</v>
      </c>
      <c r="C47" t="n">
        <v>821</v>
      </c>
      <c r="D47">
        <f> 0.007</f>
        <v/>
      </c>
      <c r="E47" t="n">
        <v>-0.19</v>
      </c>
      <c r="F47" t="inlineStr">
        <is>
          <t>[-0.33, -0.05]</t>
        </is>
      </c>
      <c r="G47">
        <f> 0.009</f>
        <v/>
      </c>
      <c r="H47" t="inlineStr">
        <is>
          <t>✓</t>
        </is>
      </c>
    </row>
    <row r="48">
      <c r="A48" t="inlineStr">
        <is>
          <t>R_7PC_ROI</t>
        </is>
      </c>
      <c r="B48" t="n">
        <v>-4.57</v>
      </c>
      <c r="C48" t="n">
        <v>821</v>
      </c>
      <c r="D48" t="inlineStr">
        <is>
          <t>&lt; .001</t>
        </is>
      </c>
      <c r="E48" t="n">
        <v>-0.32</v>
      </c>
      <c r="F48" t="inlineStr">
        <is>
          <t>[-0.46, -0.18]</t>
        </is>
      </c>
      <c r="G48" t="inlineStr">
        <is>
          <t>&lt; .001</t>
        </is>
      </c>
      <c r="H48" t="inlineStr">
        <is>
          <t>✓</t>
        </is>
      </c>
    </row>
    <row r="49">
      <c r="A49" t="inlineStr">
        <is>
          <t>R_LIPv_ROI</t>
        </is>
      </c>
      <c r="B49" t="n">
        <v>-3.88</v>
      </c>
      <c r="C49" t="n">
        <v>821</v>
      </c>
      <c r="D49" t="inlineStr">
        <is>
          <t>&lt; .001</t>
        </is>
      </c>
      <c r="E49" t="n">
        <v>-0.27</v>
      </c>
      <c r="F49" t="inlineStr">
        <is>
          <t>[-0.41, -0.13]</t>
        </is>
      </c>
      <c r="G49" t="inlineStr">
        <is>
          <t>&lt; .001</t>
        </is>
      </c>
      <c r="H49" t="inlineStr">
        <is>
          <t>✓</t>
        </is>
      </c>
    </row>
    <row r="50">
      <c r="A50" t="inlineStr">
        <is>
          <t>R_VIP_ROI</t>
        </is>
      </c>
      <c r="B50" t="n">
        <v>-3.19</v>
      </c>
      <c r="C50" t="n">
        <v>821</v>
      </c>
      <c r="D50">
        <f> 0.001</f>
        <v/>
      </c>
      <c r="E50" t="n">
        <v>-0.22</v>
      </c>
      <c r="F50" t="inlineStr">
        <is>
          <t>[-0.36, -0.09]</t>
        </is>
      </c>
      <c r="G50">
        <f> 0.002</f>
        <v/>
      </c>
      <c r="H50" t="inlineStr">
        <is>
          <t>✓</t>
        </is>
      </c>
    </row>
    <row r="51">
      <c r="A51" t="inlineStr">
        <is>
          <t>R_MIP_ROI</t>
        </is>
      </c>
      <c r="B51" t="n">
        <v>-4.38</v>
      </c>
      <c r="C51" t="n">
        <v>821</v>
      </c>
      <c r="D51" t="inlineStr">
        <is>
          <t>&lt; .001</t>
        </is>
      </c>
      <c r="E51" t="n">
        <v>-0.31</v>
      </c>
      <c r="F51" t="inlineStr">
        <is>
          <t>[-0.44, -0.17]</t>
        </is>
      </c>
      <c r="G51" t="inlineStr">
        <is>
          <t>&lt; .001</t>
        </is>
      </c>
      <c r="H51" t="inlineStr">
        <is>
          <t>✓</t>
        </is>
      </c>
    </row>
    <row r="52">
      <c r="A52" t="inlineStr">
        <is>
          <t>R_1_ROI</t>
        </is>
      </c>
      <c r="B52" t="n">
        <v>-5.42</v>
      </c>
      <c r="C52" t="n">
        <v>821</v>
      </c>
      <c r="D52" t="inlineStr">
        <is>
          <t>&lt; .001</t>
        </is>
      </c>
      <c r="E52" t="n">
        <v>-0.38</v>
      </c>
      <c r="F52" t="inlineStr">
        <is>
          <t>[-0.52, -0.24]</t>
        </is>
      </c>
      <c r="G52" t="inlineStr">
        <is>
          <t>&lt; .001</t>
        </is>
      </c>
      <c r="H52" t="inlineStr">
        <is>
          <t>✓</t>
        </is>
      </c>
    </row>
    <row r="53">
      <c r="A53" t="inlineStr">
        <is>
          <t>R_2_ROI</t>
        </is>
      </c>
      <c r="B53" t="n">
        <v>-5.31</v>
      </c>
      <c r="C53" t="n">
        <v>821</v>
      </c>
      <c r="D53" t="inlineStr">
        <is>
          <t>&lt; .001</t>
        </is>
      </c>
      <c r="E53" t="n">
        <v>-0.37</v>
      </c>
      <c r="F53" t="inlineStr">
        <is>
          <t>[-0.51, -0.23]</t>
        </is>
      </c>
      <c r="G53" t="inlineStr">
        <is>
          <t>&lt; .001</t>
        </is>
      </c>
      <c r="H53" t="inlineStr">
        <is>
          <t>✓</t>
        </is>
      </c>
    </row>
    <row r="54">
      <c r="A54" t="inlineStr">
        <is>
          <t>R_3a_ROI</t>
        </is>
      </c>
      <c r="B54" t="n">
        <v>-3.74</v>
      </c>
      <c r="C54" t="n">
        <v>821</v>
      </c>
      <c r="D54" t="inlineStr">
        <is>
          <t>&lt; .001</t>
        </is>
      </c>
      <c r="E54" t="n">
        <v>-0.26</v>
      </c>
      <c r="F54" t="inlineStr">
        <is>
          <t>[-0.40, -0.12]</t>
        </is>
      </c>
      <c r="G54" t="inlineStr">
        <is>
          <t>&lt; .001</t>
        </is>
      </c>
      <c r="H54" t="inlineStr">
        <is>
          <t>✓</t>
        </is>
      </c>
    </row>
    <row r="55">
      <c r="A55" t="inlineStr">
        <is>
          <t>R_6d_ROI</t>
        </is>
      </c>
      <c r="B55" t="n">
        <v>-4.99</v>
      </c>
      <c r="C55" t="n">
        <v>821</v>
      </c>
      <c r="D55" t="inlineStr">
        <is>
          <t>&lt; .001</t>
        </is>
      </c>
      <c r="E55" t="n">
        <v>-0.35</v>
      </c>
      <c r="F55" t="inlineStr">
        <is>
          <t>[-0.49, -0.21]</t>
        </is>
      </c>
      <c r="G55" t="inlineStr">
        <is>
          <t>&lt; .001</t>
        </is>
      </c>
      <c r="H55" t="inlineStr">
        <is>
          <t>✓</t>
        </is>
      </c>
    </row>
    <row r="56">
      <c r="A56" t="inlineStr">
        <is>
          <t>R_6mp_ROI</t>
        </is>
      </c>
      <c r="B56" t="n">
        <v>-5.49</v>
      </c>
      <c r="C56" t="n">
        <v>821</v>
      </c>
      <c r="D56" t="inlineStr">
        <is>
          <t>&lt; .001</t>
        </is>
      </c>
      <c r="E56" t="n">
        <v>-0.38</v>
      </c>
      <c r="F56" t="inlineStr">
        <is>
          <t>[-0.52, -0.25]</t>
        </is>
      </c>
      <c r="G56" t="inlineStr">
        <is>
          <t>&lt; .001</t>
        </is>
      </c>
      <c r="H56" t="inlineStr">
        <is>
          <t>✓</t>
        </is>
      </c>
    </row>
    <row r="57">
      <c r="A57" t="inlineStr">
        <is>
          <t>R_6v_ROI</t>
        </is>
      </c>
      <c r="B57" t="n">
        <v>-5.28</v>
      </c>
      <c r="C57" t="n">
        <v>821</v>
      </c>
      <c r="D57" t="inlineStr">
        <is>
          <t>&lt; .001</t>
        </is>
      </c>
      <c r="E57" t="n">
        <v>-0.37</v>
      </c>
      <c r="F57" t="inlineStr">
        <is>
          <t>[-0.51, -0.23]</t>
        </is>
      </c>
      <c r="G57" t="inlineStr">
        <is>
          <t>&lt; .001</t>
        </is>
      </c>
      <c r="H57" t="inlineStr">
        <is>
          <t>✓</t>
        </is>
      </c>
    </row>
    <row r="58">
      <c r="A58" t="inlineStr">
        <is>
          <t>R_p24pr_ROI</t>
        </is>
      </c>
      <c r="B58" t="n">
        <v>-5.64</v>
      </c>
      <c r="C58" t="n">
        <v>821</v>
      </c>
      <c r="D58" t="inlineStr">
        <is>
          <t>&lt; .001</t>
        </is>
      </c>
      <c r="E58" t="n">
        <v>-0.39</v>
      </c>
      <c r="F58" t="inlineStr">
        <is>
          <t>[-0.53, -0.26]</t>
        </is>
      </c>
      <c r="G58" t="inlineStr">
        <is>
          <t>&lt; .001</t>
        </is>
      </c>
      <c r="H58" t="inlineStr">
        <is>
          <t>✓</t>
        </is>
      </c>
    </row>
    <row r="59">
      <c r="A59" t="inlineStr">
        <is>
          <t>R_33pr_ROI</t>
        </is>
      </c>
      <c r="B59" t="n">
        <v>-2.48</v>
      </c>
      <c r="C59" t="n">
        <v>821</v>
      </c>
      <c r="D59">
        <f> 0.013</f>
        <v/>
      </c>
      <c r="E59" t="n">
        <v>-0.17</v>
      </c>
      <c r="F59" t="inlineStr">
        <is>
          <t>[-0.31, -0.04]</t>
        </is>
      </c>
      <c r="G59">
        <f> 0.016</f>
        <v/>
      </c>
      <c r="H59" t="inlineStr">
        <is>
          <t>✓</t>
        </is>
      </c>
    </row>
    <row r="60">
      <c r="A60" t="inlineStr">
        <is>
          <t>R_a24pr_ROI</t>
        </is>
      </c>
      <c r="B60" t="n">
        <v>-3.86</v>
      </c>
      <c r="C60" t="n">
        <v>821</v>
      </c>
      <c r="D60" t="inlineStr">
        <is>
          <t>&lt; .001</t>
        </is>
      </c>
      <c r="E60" t="n">
        <v>-0.27</v>
      </c>
      <c r="F60" t="inlineStr">
        <is>
          <t>[-0.41, -0.13]</t>
        </is>
      </c>
      <c r="G60" t="inlineStr">
        <is>
          <t>&lt; .001</t>
        </is>
      </c>
      <c r="H60" t="inlineStr">
        <is>
          <t>✓</t>
        </is>
      </c>
    </row>
    <row r="61">
      <c r="A61" t="inlineStr">
        <is>
          <t>R_p32pr_ROI</t>
        </is>
      </c>
      <c r="B61" t="n">
        <v>-4.77</v>
      </c>
      <c r="C61" t="n">
        <v>821</v>
      </c>
      <c r="D61" t="inlineStr">
        <is>
          <t>&lt; .001</t>
        </is>
      </c>
      <c r="E61" t="n">
        <v>-0.33</v>
      </c>
      <c r="F61" t="inlineStr">
        <is>
          <t>[-0.47, -0.19]</t>
        </is>
      </c>
      <c r="G61" t="inlineStr">
        <is>
          <t>&lt; .001</t>
        </is>
      </c>
      <c r="H61" t="inlineStr">
        <is>
          <t>✓</t>
        </is>
      </c>
    </row>
    <row r="62">
      <c r="A62" t="inlineStr">
        <is>
          <t>R_a24_ROI</t>
        </is>
      </c>
      <c r="B62" t="n">
        <v>-0.84</v>
      </c>
      <c r="C62" t="n">
        <v>821</v>
      </c>
      <c r="D62">
        <f> 0.402</f>
        <v/>
      </c>
      <c r="E62" t="n">
        <v>-0.06</v>
      </c>
      <c r="F62" t="inlineStr">
        <is>
          <t>[-0.20, 0.08]</t>
        </is>
      </c>
      <c r="G62">
        <f> 0.406</f>
        <v/>
      </c>
      <c r="H62" t="inlineStr"/>
    </row>
    <row r="63">
      <c r="A63" t="inlineStr">
        <is>
          <t>R_d32_ROI</t>
        </is>
      </c>
      <c r="B63" t="n">
        <v>-5.74</v>
      </c>
      <c r="C63" t="n">
        <v>821</v>
      </c>
      <c r="D63" t="inlineStr">
        <is>
          <t>&lt; .001</t>
        </is>
      </c>
      <c r="E63" t="n">
        <v>-0.4</v>
      </c>
      <c r="F63" t="inlineStr">
        <is>
          <t>[-0.54, -0.26]</t>
        </is>
      </c>
      <c r="G63" t="inlineStr">
        <is>
          <t>&lt; .001</t>
        </is>
      </c>
      <c r="H63" t="inlineStr">
        <is>
          <t>✓</t>
        </is>
      </c>
    </row>
    <row r="64">
      <c r="A64" t="inlineStr">
        <is>
          <t>R_8BM_ROI</t>
        </is>
      </c>
      <c r="B64" t="n">
        <v>-4.27</v>
      </c>
      <c r="C64" t="n">
        <v>821</v>
      </c>
      <c r="D64" t="inlineStr">
        <is>
          <t>&lt; .001</t>
        </is>
      </c>
      <c r="E64" t="n">
        <v>-0.3</v>
      </c>
      <c r="F64" t="inlineStr">
        <is>
          <t>[-0.43, -0.16]</t>
        </is>
      </c>
      <c r="G64" t="inlineStr">
        <is>
          <t>&lt; .001</t>
        </is>
      </c>
      <c r="H64" t="inlineStr">
        <is>
          <t>✓</t>
        </is>
      </c>
    </row>
    <row r="65">
      <c r="A65" t="inlineStr">
        <is>
          <t>R_p32_ROI</t>
        </is>
      </c>
      <c r="B65" t="n">
        <v>-1.89</v>
      </c>
      <c r="C65" t="n">
        <v>821</v>
      </c>
      <c r="D65">
        <f> 0.059</f>
        <v/>
      </c>
      <c r="E65" t="n">
        <v>-0.13</v>
      </c>
      <c r="F65" t="inlineStr">
        <is>
          <t>[-0.27, 0.00]</t>
        </is>
      </c>
      <c r="G65">
        <f> 0.064</f>
        <v/>
      </c>
      <c r="H65" t="inlineStr"/>
    </row>
    <row r="66">
      <c r="A66" t="inlineStr">
        <is>
          <t>R_10r_ROI</t>
        </is>
      </c>
      <c r="B66" t="n">
        <v>-1.08</v>
      </c>
      <c r="C66" t="n">
        <v>821</v>
      </c>
      <c r="D66">
        <f> 0.281</f>
        <v/>
      </c>
      <c r="E66" t="n">
        <v>-0.08</v>
      </c>
      <c r="F66" t="inlineStr">
        <is>
          <t>[-0.21, 0.06]</t>
        </is>
      </c>
      <c r="G66">
        <f> 0.289</f>
        <v/>
      </c>
      <c r="H66" t="inlineStr"/>
    </row>
    <row r="67">
      <c r="A67" t="inlineStr">
        <is>
          <t>R_47m_ROI</t>
        </is>
      </c>
      <c r="B67" t="n">
        <v>-2.36</v>
      </c>
      <c r="C67" t="n">
        <v>821</v>
      </c>
      <c r="D67">
        <f> 0.019</f>
        <v/>
      </c>
      <c r="E67" t="n">
        <v>-0.16</v>
      </c>
      <c r="F67" t="inlineStr">
        <is>
          <t>[-0.30, -0.03]</t>
        </is>
      </c>
      <c r="G67">
        <f> 0.022</f>
        <v/>
      </c>
      <c r="H67" t="inlineStr">
        <is>
          <t>✓</t>
        </is>
      </c>
    </row>
    <row r="68">
      <c r="A68" t="inlineStr">
        <is>
          <t>R_8Av_ROI</t>
        </is>
      </c>
      <c r="B68" t="n">
        <v>-4.44</v>
      </c>
      <c r="C68" t="n">
        <v>821</v>
      </c>
      <c r="D68" t="inlineStr">
        <is>
          <t>&lt; .001</t>
        </is>
      </c>
      <c r="E68" t="n">
        <v>-0.31</v>
      </c>
      <c r="F68" t="inlineStr">
        <is>
          <t>[-0.45, -0.17]</t>
        </is>
      </c>
      <c r="G68" t="inlineStr">
        <is>
          <t>&lt; .001</t>
        </is>
      </c>
      <c r="H68" t="inlineStr">
        <is>
          <t>✓</t>
        </is>
      </c>
    </row>
    <row r="69">
      <c r="A69" t="inlineStr">
        <is>
          <t>R_8Ad_ROI</t>
        </is>
      </c>
      <c r="B69" t="n">
        <v>-3.54</v>
      </c>
      <c r="C69" t="n">
        <v>821</v>
      </c>
      <c r="D69" t="inlineStr">
        <is>
          <t>&lt; .001</t>
        </is>
      </c>
      <c r="E69" t="n">
        <v>-0.25</v>
      </c>
      <c r="F69" t="inlineStr">
        <is>
          <t>[-0.38, -0.11]</t>
        </is>
      </c>
      <c r="G69" t="inlineStr">
        <is>
          <t>&lt; .001</t>
        </is>
      </c>
      <c r="H69" t="inlineStr">
        <is>
          <t>✓</t>
        </is>
      </c>
    </row>
    <row r="70">
      <c r="A70" t="inlineStr">
        <is>
          <t>R_9m_ROI</t>
        </is>
      </c>
      <c r="B70" t="n">
        <v>-4.05</v>
      </c>
      <c r="C70" t="n">
        <v>821</v>
      </c>
      <c r="D70" t="inlineStr">
        <is>
          <t>&lt; .001</t>
        </is>
      </c>
      <c r="E70" t="n">
        <v>-0.28</v>
      </c>
      <c r="F70" t="inlineStr">
        <is>
          <t>[-0.42, -0.15]</t>
        </is>
      </c>
      <c r="G70" t="inlineStr">
        <is>
          <t>&lt; .001</t>
        </is>
      </c>
      <c r="H70" t="inlineStr">
        <is>
          <t>✓</t>
        </is>
      </c>
    </row>
    <row r="71">
      <c r="A71" t="inlineStr">
        <is>
          <t>R_8BL_ROI</t>
        </is>
      </c>
      <c r="B71" t="n">
        <v>-3.7</v>
      </c>
      <c r="C71" t="n">
        <v>821</v>
      </c>
      <c r="D71" t="inlineStr">
        <is>
          <t>&lt; .001</t>
        </is>
      </c>
      <c r="E71" t="n">
        <v>-0.26</v>
      </c>
      <c r="F71" t="inlineStr">
        <is>
          <t>[-0.40, -0.12]</t>
        </is>
      </c>
      <c r="G71" t="inlineStr">
        <is>
          <t>&lt; .001</t>
        </is>
      </c>
      <c r="H71" t="inlineStr">
        <is>
          <t>✓</t>
        </is>
      </c>
    </row>
    <row r="72">
      <c r="A72" t="inlineStr">
        <is>
          <t>R_9p_ROI</t>
        </is>
      </c>
      <c r="B72" t="n">
        <v>-2.68</v>
      </c>
      <c r="C72" t="n">
        <v>821</v>
      </c>
      <c r="D72">
        <f> 0.007</f>
        <v/>
      </c>
      <c r="E72" t="n">
        <v>-0.19</v>
      </c>
      <c r="F72" t="inlineStr">
        <is>
          <t>[-0.32, -0.05]</t>
        </is>
      </c>
      <c r="G72">
        <f> 0.009</f>
        <v/>
      </c>
      <c r="H72" t="inlineStr">
        <is>
          <t>✓</t>
        </is>
      </c>
    </row>
    <row r="73">
      <c r="A73" t="inlineStr">
        <is>
          <t>R_10d_ROI</t>
        </is>
      </c>
      <c r="B73" t="n">
        <v>-2.61</v>
      </c>
      <c r="C73" t="n">
        <v>821</v>
      </c>
      <c r="D73">
        <f> 0.009</f>
        <v/>
      </c>
      <c r="E73" t="n">
        <v>-0.18</v>
      </c>
      <c r="F73" t="inlineStr">
        <is>
          <t>[-0.32, -0.05]</t>
        </is>
      </c>
      <c r="G73">
        <f> 0.012</f>
        <v/>
      </c>
      <c r="H73" t="inlineStr">
        <is>
          <t>✓</t>
        </is>
      </c>
    </row>
    <row r="74">
      <c r="A74" t="inlineStr">
        <is>
          <t>R_8C_ROI</t>
        </is>
      </c>
      <c r="B74" t="n">
        <v>-5.37</v>
      </c>
      <c r="C74" t="n">
        <v>821</v>
      </c>
      <c r="D74" t="inlineStr">
        <is>
          <t>&lt; .001</t>
        </is>
      </c>
      <c r="E74" t="n">
        <v>-0.37</v>
      </c>
      <c r="F74" t="inlineStr">
        <is>
          <t>[-0.51, -0.24]</t>
        </is>
      </c>
      <c r="G74" t="inlineStr">
        <is>
          <t>&lt; .001</t>
        </is>
      </c>
      <c r="H74" t="inlineStr">
        <is>
          <t>✓</t>
        </is>
      </c>
    </row>
    <row r="75">
      <c r="A75" t="inlineStr">
        <is>
          <t>R_44_ROI</t>
        </is>
      </c>
      <c r="B75" t="n">
        <v>-4.3</v>
      </c>
      <c r="C75" t="n">
        <v>821</v>
      </c>
      <c r="D75" t="inlineStr">
        <is>
          <t>&lt; .001</t>
        </is>
      </c>
      <c r="E75" t="n">
        <v>-0.3</v>
      </c>
      <c r="F75" t="inlineStr">
        <is>
          <t>[-0.44, -0.16]</t>
        </is>
      </c>
      <c r="G75" t="inlineStr">
        <is>
          <t>&lt; .001</t>
        </is>
      </c>
      <c r="H75" t="inlineStr">
        <is>
          <t>✓</t>
        </is>
      </c>
    </row>
    <row r="76">
      <c r="A76" t="inlineStr">
        <is>
          <t>R_45_ROI</t>
        </is>
      </c>
      <c r="B76" t="n">
        <v>-4.73</v>
      </c>
      <c r="C76" t="n">
        <v>821</v>
      </c>
      <c r="D76" t="inlineStr">
        <is>
          <t>&lt; .001</t>
        </is>
      </c>
      <c r="E76" t="n">
        <v>-0.33</v>
      </c>
      <c r="F76" t="inlineStr">
        <is>
          <t>[-0.47, -0.19]</t>
        </is>
      </c>
      <c r="G76" t="inlineStr">
        <is>
          <t>&lt; .001</t>
        </is>
      </c>
      <c r="H76" t="inlineStr">
        <is>
          <t>✓</t>
        </is>
      </c>
    </row>
    <row r="77">
      <c r="A77" t="inlineStr">
        <is>
          <t>R_47l_ROI</t>
        </is>
      </c>
      <c r="B77" t="n">
        <v>-4.29</v>
      </c>
      <c r="C77" t="n">
        <v>821</v>
      </c>
      <c r="D77" t="inlineStr">
        <is>
          <t>&lt; .001</t>
        </is>
      </c>
      <c r="E77" t="n">
        <v>-0.3</v>
      </c>
      <c r="F77" t="inlineStr">
        <is>
          <t>[-0.44, -0.16]</t>
        </is>
      </c>
      <c r="G77" t="inlineStr">
        <is>
          <t>&lt; .001</t>
        </is>
      </c>
      <c r="H77" t="inlineStr">
        <is>
          <t>✓</t>
        </is>
      </c>
    </row>
    <row r="78">
      <c r="A78" t="inlineStr">
        <is>
          <t>R_a47r_ROI</t>
        </is>
      </c>
      <c r="B78" t="n">
        <v>-2.68</v>
      </c>
      <c r="C78" t="n">
        <v>821</v>
      </c>
      <c r="D78">
        <f> 0.007</f>
        <v/>
      </c>
      <c r="E78" t="n">
        <v>-0.19</v>
      </c>
      <c r="F78" t="inlineStr">
        <is>
          <t>[-0.32, -0.05]</t>
        </is>
      </c>
      <c r="G78">
        <f> 0.009</f>
        <v/>
      </c>
      <c r="H78" t="inlineStr">
        <is>
          <t>✓</t>
        </is>
      </c>
    </row>
    <row r="79">
      <c r="A79" t="inlineStr">
        <is>
          <t>R_6r_ROI</t>
        </is>
      </c>
      <c r="B79" t="n">
        <v>-4.8</v>
      </c>
      <c r="C79" t="n">
        <v>821</v>
      </c>
      <c r="D79" t="inlineStr">
        <is>
          <t>&lt; .001</t>
        </is>
      </c>
      <c r="E79" t="n">
        <v>-0.33</v>
      </c>
      <c r="F79" t="inlineStr">
        <is>
          <t>[-0.47, -0.20]</t>
        </is>
      </c>
      <c r="G79" t="inlineStr">
        <is>
          <t>&lt; .001</t>
        </is>
      </c>
      <c r="H79" t="inlineStr">
        <is>
          <t>✓</t>
        </is>
      </c>
    </row>
    <row r="80">
      <c r="A80" t="inlineStr">
        <is>
          <t>R_IFJa_ROI</t>
        </is>
      </c>
      <c r="B80" t="n">
        <v>-3.68</v>
      </c>
      <c r="C80" t="n">
        <v>821</v>
      </c>
      <c r="D80" t="inlineStr">
        <is>
          <t>&lt; .001</t>
        </is>
      </c>
      <c r="E80" t="n">
        <v>-0.26</v>
      </c>
      <c r="F80" t="inlineStr">
        <is>
          <t>[-0.39, -0.12]</t>
        </is>
      </c>
      <c r="G80" t="inlineStr">
        <is>
          <t>&lt; .001</t>
        </is>
      </c>
      <c r="H80" t="inlineStr">
        <is>
          <t>✓</t>
        </is>
      </c>
    </row>
    <row r="81">
      <c r="A81" t="inlineStr">
        <is>
          <t>R_IFJp_ROI</t>
        </is>
      </c>
      <c r="B81" t="n">
        <v>-4.34</v>
      </c>
      <c r="C81" t="n">
        <v>821</v>
      </c>
      <c r="D81" t="inlineStr">
        <is>
          <t>&lt; .001</t>
        </is>
      </c>
      <c r="E81" t="n">
        <v>-0.3</v>
      </c>
      <c r="F81" t="inlineStr">
        <is>
          <t>[-0.44, -0.16]</t>
        </is>
      </c>
      <c r="G81" t="inlineStr">
        <is>
          <t>&lt; .001</t>
        </is>
      </c>
      <c r="H81" t="inlineStr">
        <is>
          <t>✓</t>
        </is>
      </c>
    </row>
    <row r="82">
      <c r="A82" t="inlineStr">
        <is>
          <t>R_IFSp_ROI</t>
        </is>
      </c>
      <c r="B82" t="n">
        <v>-4.32</v>
      </c>
      <c r="C82" t="n">
        <v>821</v>
      </c>
      <c r="D82" t="inlineStr">
        <is>
          <t>&lt; .001</t>
        </is>
      </c>
      <c r="E82" t="n">
        <v>-0.3</v>
      </c>
      <c r="F82" t="inlineStr">
        <is>
          <t>[-0.44, -0.16]</t>
        </is>
      </c>
      <c r="G82" t="inlineStr">
        <is>
          <t>&lt; .001</t>
        </is>
      </c>
      <c r="H82" t="inlineStr">
        <is>
          <t>✓</t>
        </is>
      </c>
    </row>
    <row r="83">
      <c r="A83" t="inlineStr">
        <is>
          <t>R_IFSa_ROI</t>
        </is>
      </c>
      <c r="B83" t="n">
        <v>-3.03</v>
      </c>
      <c r="C83" t="n">
        <v>821</v>
      </c>
      <c r="D83">
        <f> 0.003</f>
        <v/>
      </c>
      <c r="E83" t="n">
        <v>-0.21</v>
      </c>
      <c r="F83" t="inlineStr">
        <is>
          <t>[-0.35, -0.07]</t>
        </is>
      </c>
      <c r="G83">
        <f> 0.003</f>
        <v/>
      </c>
      <c r="H83" t="inlineStr">
        <is>
          <t>✓</t>
        </is>
      </c>
    </row>
    <row r="84">
      <c r="A84" t="inlineStr">
        <is>
          <t>R_p9_46v_ROI</t>
        </is>
      </c>
      <c r="B84" t="n">
        <v>-4.29</v>
      </c>
      <c r="C84" t="n">
        <v>821</v>
      </c>
      <c r="D84" t="inlineStr">
        <is>
          <t>&lt; .001</t>
        </is>
      </c>
      <c r="E84" t="n">
        <v>-0.3</v>
      </c>
      <c r="F84" t="inlineStr">
        <is>
          <t>[-0.44, -0.16]</t>
        </is>
      </c>
      <c r="G84" t="inlineStr">
        <is>
          <t>&lt; .001</t>
        </is>
      </c>
      <c r="H84" t="inlineStr">
        <is>
          <t>✓</t>
        </is>
      </c>
    </row>
    <row r="85">
      <c r="A85" t="inlineStr">
        <is>
          <t>R_46_ROI</t>
        </is>
      </c>
      <c r="B85" t="n">
        <v>-4.08</v>
      </c>
      <c r="C85" t="n">
        <v>821</v>
      </c>
      <c r="D85" t="inlineStr">
        <is>
          <t>&lt; .001</t>
        </is>
      </c>
      <c r="E85" t="n">
        <v>-0.28</v>
      </c>
      <c r="F85" t="inlineStr">
        <is>
          <t>[-0.42, -0.15]</t>
        </is>
      </c>
      <c r="G85" t="inlineStr">
        <is>
          <t>&lt; .001</t>
        </is>
      </c>
      <c r="H85" t="inlineStr">
        <is>
          <t>✓</t>
        </is>
      </c>
    </row>
    <row r="86">
      <c r="A86" t="inlineStr">
        <is>
          <t>R_a9_46v_ROI</t>
        </is>
      </c>
      <c r="B86" t="n">
        <v>-2.44</v>
      </c>
      <c r="C86" t="n">
        <v>821</v>
      </c>
      <c r="D86">
        <f> 0.015</f>
        <v/>
      </c>
      <c r="E86" t="n">
        <v>-0.17</v>
      </c>
      <c r="F86" t="inlineStr">
        <is>
          <t>[-0.31, -0.03]</t>
        </is>
      </c>
      <c r="G86">
        <f> 0.018</f>
        <v/>
      </c>
      <c r="H86" t="inlineStr">
        <is>
          <t>✓</t>
        </is>
      </c>
    </row>
    <row r="87">
      <c r="A87" t="inlineStr">
        <is>
          <t>R_9_46d_ROI</t>
        </is>
      </c>
      <c r="B87" t="n">
        <v>-3.51</v>
      </c>
      <c r="C87" t="n">
        <v>821</v>
      </c>
      <c r="D87" t="inlineStr">
        <is>
          <t>&lt; .001</t>
        </is>
      </c>
      <c r="E87" t="n">
        <v>-0.24</v>
      </c>
      <c r="F87" t="inlineStr">
        <is>
          <t>[-0.38, -0.11]</t>
        </is>
      </c>
      <c r="G87" t="inlineStr">
        <is>
          <t>&lt; .001</t>
        </is>
      </c>
      <c r="H87" t="inlineStr">
        <is>
          <t>✓</t>
        </is>
      </c>
    </row>
    <row r="88">
      <c r="A88" t="inlineStr">
        <is>
          <t>R_9a_ROI</t>
        </is>
      </c>
      <c r="B88" t="n">
        <v>-2.31</v>
      </c>
      <c r="C88" t="n">
        <v>821</v>
      </c>
      <c r="D88">
        <f> 0.021</f>
        <v/>
      </c>
      <c r="E88" t="n">
        <v>-0.16</v>
      </c>
      <c r="F88" t="inlineStr">
        <is>
          <t>[-0.30, -0.02]</t>
        </is>
      </c>
      <c r="G88">
        <f> 0.025</f>
        <v/>
      </c>
      <c r="H88" t="inlineStr">
        <is>
          <t>✓</t>
        </is>
      </c>
    </row>
    <row r="89">
      <c r="A89" t="inlineStr">
        <is>
          <t>R_10v_ROI</t>
        </is>
      </c>
      <c r="B89" t="n">
        <v>-0.67</v>
      </c>
      <c r="C89" t="n">
        <v>821</v>
      </c>
      <c r="D89">
        <f> 0.505</f>
        <v/>
      </c>
      <c r="E89" t="n">
        <v>-0.05</v>
      </c>
      <c r="F89" t="inlineStr">
        <is>
          <t>[-0.18, 0.09]</t>
        </is>
      </c>
      <c r="G89">
        <f> 0.506</f>
        <v/>
      </c>
      <c r="H89" t="inlineStr"/>
    </row>
    <row r="90">
      <c r="A90" t="inlineStr">
        <is>
          <t>R_a10p_ROI</t>
        </is>
      </c>
      <c r="B90" t="n">
        <v>-2.76</v>
      </c>
      <c r="C90" t="n">
        <v>821</v>
      </c>
      <c r="D90">
        <f> 0.006</f>
        <v/>
      </c>
      <c r="E90" t="n">
        <v>-0.19</v>
      </c>
      <c r="F90" t="inlineStr">
        <is>
          <t>[-0.33, -0.06]</t>
        </is>
      </c>
      <c r="G90">
        <f> 0.008</f>
        <v/>
      </c>
      <c r="H90" t="inlineStr">
        <is>
          <t>✓</t>
        </is>
      </c>
    </row>
    <row r="91">
      <c r="A91" t="inlineStr">
        <is>
          <t>R_10pp_ROI</t>
        </is>
      </c>
      <c r="B91" t="n">
        <v>-2.59</v>
      </c>
      <c r="C91" t="n">
        <v>821</v>
      </c>
      <c r="D91">
        <f> 0.010</f>
        <v/>
      </c>
      <c r="E91" t="n">
        <v>-0.18</v>
      </c>
      <c r="F91" t="inlineStr">
        <is>
          <t>[-0.32, -0.04]</t>
        </is>
      </c>
      <c r="G91">
        <f> 0.012</f>
        <v/>
      </c>
      <c r="H91" t="inlineStr">
        <is>
          <t>✓</t>
        </is>
      </c>
    </row>
    <row r="92">
      <c r="A92" t="inlineStr">
        <is>
          <t>R_11l_ROI</t>
        </is>
      </c>
      <c r="B92" t="n">
        <v>-2.49</v>
      </c>
      <c r="C92" t="n">
        <v>821</v>
      </c>
      <c r="D92">
        <f> 0.013</f>
        <v/>
      </c>
      <c r="E92" t="n">
        <v>-0.17</v>
      </c>
      <c r="F92" t="inlineStr">
        <is>
          <t>[-0.31, -0.04]</t>
        </is>
      </c>
      <c r="G92">
        <f> 0.016</f>
        <v/>
      </c>
      <c r="H92" t="inlineStr">
        <is>
          <t>✓</t>
        </is>
      </c>
    </row>
    <row r="93">
      <c r="A93" t="inlineStr">
        <is>
          <t>R_13l_ROI</t>
        </is>
      </c>
      <c r="B93" t="n">
        <v>-2.83</v>
      </c>
      <c r="C93" t="n">
        <v>821</v>
      </c>
      <c r="D93">
        <f> 0.005</f>
        <v/>
      </c>
      <c r="E93" t="n">
        <v>-0.2</v>
      </c>
      <c r="F93" t="inlineStr">
        <is>
          <t>[-0.33, -0.06]</t>
        </is>
      </c>
      <c r="G93">
        <f> 0.006</f>
        <v/>
      </c>
      <c r="H93" t="inlineStr">
        <is>
          <t>✓</t>
        </is>
      </c>
    </row>
    <row r="94">
      <c r="A94" t="inlineStr">
        <is>
          <t>R_OFC_ROI</t>
        </is>
      </c>
      <c r="B94" t="n">
        <v>-1.18</v>
      </c>
      <c r="C94" t="n">
        <v>821</v>
      </c>
      <c r="D94">
        <f> 0.237</f>
        <v/>
      </c>
      <c r="E94" t="n">
        <v>-0.08</v>
      </c>
      <c r="F94" t="inlineStr">
        <is>
          <t>[-0.22, 0.05]</t>
        </is>
      </c>
      <c r="G94">
        <f> 0.246</f>
        <v/>
      </c>
      <c r="H94" t="inlineStr"/>
    </row>
    <row r="95">
      <c r="A95" t="inlineStr">
        <is>
          <t>R_47s_ROI</t>
        </is>
      </c>
      <c r="B95" t="n">
        <v>-3.92</v>
      </c>
      <c r="C95" t="n">
        <v>821</v>
      </c>
      <c r="D95" t="inlineStr">
        <is>
          <t>&lt; .001</t>
        </is>
      </c>
      <c r="E95" t="n">
        <v>-0.27</v>
      </c>
      <c r="F95" t="inlineStr">
        <is>
          <t>[-0.41, -0.14]</t>
        </is>
      </c>
      <c r="G95" t="inlineStr">
        <is>
          <t>&lt; .001</t>
        </is>
      </c>
      <c r="H95" t="inlineStr">
        <is>
          <t>✓</t>
        </is>
      </c>
    </row>
    <row r="96">
      <c r="A96" t="inlineStr">
        <is>
          <t>R_LIPd_ROI</t>
        </is>
      </c>
      <c r="B96" t="n">
        <v>-4.09</v>
      </c>
      <c r="C96" t="n">
        <v>821</v>
      </c>
      <c r="D96" t="inlineStr">
        <is>
          <t>&lt; .001</t>
        </is>
      </c>
      <c r="E96" t="n">
        <v>-0.28</v>
      </c>
      <c r="F96" t="inlineStr">
        <is>
          <t>[-0.42, -0.15]</t>
        </is>
      </c>
      <c r="G96" t="inlineStr">
        <is>
          <t>&lt; .001</t>
        </is>
      </c>
      <c r="H96" t="inlineStr">
        <is>
          <t>✓</t>
        </is>
      </c>
    </row>
    <row r="97">
      <c r="A97" t="inlineStr">
        <is>
          <t>R_6a_ROI</t>
        </is>
      </c>
      <c r="B97" t="n">
        <v>-4.62</v>
      </c>
      <c r="C97" t="n">
        <v>821</v>
      </c>
      <c r="D97" t="inlineStr">
        <is>
          <t>&lt; .001</t>
        </is>
      </c>
      <c r="E97" t="n">
        <v>-0.32</v>
      </c>
      <c r="F97" t="inlineStr">
        <is>
          <t>[-0.46, -0.18]</t>
        </is>
      </c>
      <c r="G97" t="inlineStr">
        <is>
          <t>&lt; .001</t>
        </is>
      </c>
      <c r="H97" t="inlineStr">
        <is>
          <t>✓</t>
        </is>
      </c>
    </row>
    <row r="98">
      <c r="A98" t="inlineStr">
        <is>
          <t>R_i6_8_ROI</t>
        </is>
      </c>
      <c r="B98" t="n">
        <v>-4.29</v>
      </c>
      <c r="C98" t="n">
        <v>821</v>
      </c>
      <c r="D98" t="inlineStr">
        <is>
          <t>&lt; .001</t>
        </is>
      </c>
      <c r="E98" t="n">
        <v>-0.3</v>
      </c>
      <c r="F98" t="inlineStr">
        <is>
          <t>[-0.44, -0.16]</t>
        </is>
      </c>
      <c r="G98" t="inlineStr">
        <is>
          <t>&lt; .001</t>
        </is>
      </c>
      <c r="H98" t="inlineStr">
        <is>
          <t>✓</t>
        </is>
      </c>
    </row>
    <row r="99">
      <c r="A99" t="inlineStr">
        <is>
          <t>R_s6_8_ROI</t>
        </is>
      </c>
      <c r="B99" t="n">
        <v>-3.34</v>
      </c>
      <c r="C99" t="n">
        <v>821</v>
      </c>
      <c r="D99" t="inlineStr">
        <is>
          <t>&lt; .001</t>
        </is>
      </c>
      <c r="E99" t="n">
        <v>-0.23</v>
      </c>
      <c r="F99" t="inlineStr">
        <is>
          <t>[-0.37, -0.10]</t>
        </is>
      </c>
      <c r="G99">
        <f> 0.001</f>
        <v/>
      </c>
      <c r="H99" t="inlineStr">
        <is>
          <t>✓</t>
        </is>
      </c>
    </row>
    <row r="100">
      <c r="A100" t="inlineStr">
        <is>
          <t>R_43_ROI</t>
        </is>
      </c>
      <c r="B100" t="n">
        <v>-4.81</v>
      </c>
      <c r="C100" t="n">
        <v>821</v>
      </c>
      <c r="D100" t="inlineStr">
        <is>
          <t>&lt; .001</t>
        </is>
      </c>
      <c r="E100" t="n">
        <v>-0.34</v>
      </c>
      <c r="F100" t="inlineStr">
        <is>
          <t>[-0.47, -0.20]</t>
        </is>
      </c>
      <c r="G100" t="inlineStr">
        <is>
          <t>&lt; .001</t>
        </is>
      </c>
      <c r="H100" t="inlineStr">
        <is>
          <t>✓</t>
        </is>
      </c>
    </row>
    <row r="101">
      <c r="A101" t="inlineStr">
        <is>
          <t>R_OP4_ROI</t>
        </is>
      </c>
      <c r="B101" t="n">
        <v>-4.81</v>
      </c>
      <c r="C101" t="n">
        <v>821</v>
      </c>
      <c r="D101" t="inlineStr">
        <is>
          <t>&lt; .001</t>
        </is>
      </c>
      <c r="E101" t="n">
        <v>-0.34</v>
      </c>
      <c r="F101" t="inlineStr">
        <is>
          <t>[-0.47, -0.20]</t>
        </is>
      </c>
      <c r="G101" t="inlineStr">
        <is>
          <t>&lt; .001</t>
        </is>
      </c>
      <c r="H101" t="inlineStr">
        <is>
          <t>✓</t>
        </is>
      </c>
    </row>
    <row r="102">
      <c r="A102" t="inlineStr">
        <is>
          <t>R_OP1_ROI</t>
        </is>
      </c>
      <c r="B102" t="n">
        <v>-5.02</v>
      </c>
      <c r="C102" t="n">
        <v>821</v>
      </c>
      <c r="D102" t="inlineStr">
        <is>
          <t>&lt; .001</t>
        </is>
      </c>
      <c r="E102" t="n">
        <v>-0.35</v>
      </c>
      <c r="F102" t="inlineStr">
        <is>
          <t>[-0.49, -0.21]</t>
        </is>
      </c>
      <c r="G102" t="inlineStr">
        <is>
          <t>&lt; .001</t>
        </is>
      </c>
      <c r="H102" t="inlineStr">
        <is>
          <t>✓</t>
        </is>
      </c>
    </row>
    <row r="103">
      <c r="A103" t="inlineStr">
        <is>
          <t>R_OP2_3_ROI</t>
        </is>
      </c>
      <c r="B103" t="n">
        <v>-5.51</v>
      </c>
      <c r="C103" t="n">
        <v>821</v>
      </c>
      <c r="D103" t="inlineStr">
        <is>
          <t>&lt; .001</t>
        </is>
      </c>
      <c r="E103" t="n">
        <v>-0.38</v>
      </c>
      <c r="F103" t="inlineStr">
        <is>
          <t>[-0.52, -0.25]</t>
        </is>
      </c>
      <c r="G103" t="inlineStr">
        <is>
          <t>&lt; .001</t>
        </is>
      </c>
      <c r="H103" t="inlineStr">
        <is>
          <t>✓</t>
        </is>
      </c>
    </row>
    <row r="104">
      <c r="A104" t="inlineStr">
        <is>
          <t>R_52_ROI</t>
        </is>
      </c>
      <c r="B104" t="n">
        <v>-2.11</v>
      </c>
      <c r="C104" t="n">
        <v>821</v>
      </c>
      <c r="D104">
        <f> 0.035</f>
        <v/>
      </c>
      <c r="E104" t="n">
        <v>-0.15</v>
      </c>
      <c r="F104" t="inlineStr">
        <is>
          <t>[-0.28, -0.01]</t>
        </is>
      </c>
      <c r="G104">
        <f> 0.039</f>
        <v/>
      </c>
      <c r="H104" t="inlineStr">
        <is>
          <t>✓</t>
        </is>
      </c>
    </row>
    <row r="105">
      <c r="A105" t="inlineStr">
        <is>
          <t>R_RI_ROI</t>
        </is>
      </c>
      <c r="B105" t="n">
        <v>-6.04</v>
      </c>
      <c r="C105" t="n">
        <v>821</v>
      </c>
      <c r="D105" t="inlineStr">
        <is>
          <t>&lt; .001</t>
        </is>
      </c>
      <c r="E105" t="n">
        <v>-0.42</v>
      </c>
      <c r="F105" t="inlineStr">
        <is>
          <t>[-0.56, -0.28]</t>
        </is>
      </c>
      <c r="G105" t="inlineStr">
        <is>
          <t>&lt; .001</t>
        </is>
      </c>
      <c r="H105" t="inlineStr">
        <is>
          <t>✓</t>
        </is>
      </c>
    </row>
    <row r="106">
      <c r="A106" t="inlineStr">
        <is>
          <t>R_PFcm_ROI</t>
        </is>
      </c>
      <c r="B106" t="n">
        <v>-3.97</v>
      </c>
      <c r="C106" t="n">
        <v>821</v>
      </c>
      <c r="D106" t="inlineStr">
        <is>
          <t>&lt; .001</t>
        </is>
      </c>
      <c r="E106" t="n">
        <v>-0.28</v>
      </c>
      <c r="F106" t="inlineStr">
        <is>
          <t>[-0.41, -0.14]</t>
        </is>
      </c>
      <c r="G106" t="inlineStr">
        <is>
          <t>&lt; .001</t>
        </is>
      </c>
      <c r="H106" t="inlineStr">
        <is>
          <t>✓</t>
        </is>
      </c>
    </row>
    <row r="107">
      <c r="A107" t="inlineStr">
        <is>
          <t>R_PoI2_ROI</t>
        </is>
      </c>
      <c r="B107" t="n">
        <v>-1.59</v>
      </c>
      <c r="C107" t="n">
        <v>821</v>
      </c>
      <c r="D107">
        <f> 0.112</f>
        <v/>
      </c>
      <c r="E107" t="n">
        <v>-0.11</v>
      </c>
      <c r="F107" t="inlineStr">
        <is>
          <t>[-0.25, 0.03]</t>
        </is>
      </c>
      <c r="G107">
        <f> 0.119</f>
        <v/>
      </c>
      <c r="H107" t="inlineStr"/>
    </row>
    <row r="108">
      <c r="A108" t="inlineStr">
        <is>
          <t>R_TA2_ROI</t>
        </is>
      </c>
      <c r="B108" t="n">
        <v>-4.1</v>
      </c>
      <c r="C108" t="n">
        <v>821</v>
      </c>
      <c r="D108" t="inlineStr">
        <is>
          <t>&lt; .001</t>
        </is>
      </c>
      <c r="E108" t="n">
        <v>-0.29</v>
      </c>
      <c r="F108" t="inlineStr">
        <is>
          <t>[-0.42, -0.15]</t>
        </is>
      </c>
      <c r="G108" t="inlineStr">
        <is>
          <t>&lt; .001</t>
        </is>
      </c>
      <c r="H108" t="inlineStr">
        <is>
          <t>✓</t>
        </is>
      </c>
    </row>
    <row r="109">
      <c r="A109" t="inlineStr">
        <is>
          <t>R_FOP4_ROI</t>
        </is>
      </c>
      <c r="B109" t="n">
        <v>-4.51</v>
      </c>
      <c r="C109" t="n">
        <v>821</v>
      </c>
      <c r="D109" t="inlineStr">
        <is>
          <t>&lt; .001</t>
        </is>
      </c>
      <c r="E109" t="n">
        <v>-0.31</v>
      </c>
      <c r="F109" t="inlineStr">
        <is>
          <t>[-0.45, -0.18]</t>
        </is>
      </c>
      <c r="G109" t="inlineStr">
        <is>
          <t>&lt; .001</t>
        </is>
      </c>
      <c r="H109" t="inlineStr">
        <is>
          <t>✓</t>
        </is>
      </c>
    </row>
    <row r="110">
      <c r="A110" t="inlineStr">
        <is>
          <t>R_MI_ROI</t>
        </is>
      </c>
      <c r="B110" t="n">
        <v>-3.63</v>
      </c>
      <c r="C110" t="n">
        <v>821</v>
      </c>
      <c r="D110" t="inlineStr">
        <is>
          <t>&lt; .001</t>
        </is>
      </c>
      <c r="E110" t="n">
        <v>-0.25</v>
      </c>
      <c r="F110" t="inlineStr">
        <is>
          <t>[-0.39, -0.12]</t>
        </is>
      </c>
      <c r="G110" t="inlineStr">
        <is>
          <t>&lt; .001</t>
        </is>
      </c>
      <c r="H110" t="inlineStr">
        <is>
          <t>✓</t>
        </is>
      </c>
    </row>
    <row r="111">
      <c r="A111" t="inlineStr">
        <is>
          <t>R_Pir_ROI</t>
        </is>
      </c>
      <c r="B111" t="n">
        <v>-1.3</v>
      </c>
      <c r="C111" t="n">
        <v>821</v>
      </c>
      <c r="D111">
        <f> 0.193</f>
        <v/>
      </c>
      <c r="E111" t="n">
        <v>-0.09</v>
      </c>
      <c r="F111" t="inlineStr">
        <is>
          <t>[-0.23, 0.05]</t>
        </is>
      </c>
      <c r="G111">
        <f> 0.202</f>
        <v/>
      </c>
      <c r="H111" t="inlineStr"/>
    </row>
    <row r="112">
      <c r="A112" t="inlineStr">
        <is>
          <t>R_AVI_ROI</t>
        </is>
      </c>
      <c r="B112" t="n">
        <v>-4.33</v>
      </c>
      <c r="C112" t="n">
        <v>821</v>
      </c>
      <c r="D112" t="inlineStr">
        <is>
          <t>&lt; .001</t>
        </is>
      </c>
      <c r="E112" t="n">
        <v>-0.3</v>
      </c>
      <c r="F112" t="inlineStr">
        <is>
          <t>[-0.44, -0.16]</t>
        </is>
      </c>
      <c r="G112" t="inlineStr">
        <is>
          <t>&lt; .001</t>
        </is>
      </c>
      <c r="H112" t="inlineStr">
        <is>
          <t>✓</t>
        </is>
      </c>
    </row>
    <row r="113">
      <c r="A113" t="inlineStr">
        <is>
          <t>R_AAIC_ROI</t>
        </is>
      </c>
      <c r="B113" t="n">
        <v>-2.51</v>
      </c>
      <c r="C113" t="n">
        <v>821</v>
      </c>
      <c r="D113">
        <f> 0.012</f>
        <v/>
      </c>
      <c r="E113" t="n">
        <v>-0.17</v>
      </c>
      <c r="F113" t="inlineStr">
        <is>
          <t>[-0.31, -0.04]</t>
        </is>
      </c>
      <c r="G113">
        <f> 0.015</f>
        <v/>
      </c>
      <c r="H113" t="inlineStr">
        <is>
          <t>✓</t>
        </is>
      </c>
    </row>
    <row r="114">
      <c r="A114" t="inlineStr">
        <is>
          <t>R_FOP1_ROI</t>
        </is>
      </c>
      <c r="B114" t="n">
        <v>-4.73</v>
      </c>
      <c r="C114" t="n">
        <v>821</v>
      </c>
      <c r="D114" t="inlineStr">
        <is>
          <t>&lt; .001</t>
        </is>
      </c>
      <c r="E114" t="n">
        <v>-0.33</v>
      </c>
      <c r="F114" t="inlineStr">
        <is>
          <t>[-0.47, -0.19]</t>
        </is>
      </c>
      <c r="G114" t="inlineStr">
        <is>
          <t>&lt; .001</t>
        </is>
      </c>
      <c r="H114" t="inlineStr">
        <is>
          <t>✓</t>
        </is>
      </c>
    </row>
    <row r="115">
      <c r="A115" t="inlineStr">
        <is>
          <t>R_FOP3_ROI</t>
        </is>
      </c>
      <c r="B115" t="n">
        <v>-3.63</v>
      </c>
      <c r="C115" t="n">
        <v>821</v>
      </c>
      <c r="D115" t="inlineStr">
        <is>
          <t>&lt; .001</t>
        </is>
      </c>
      <c r="E115" t="n">
        <v>-0.25</v>
      </c>
      <c r="F115" t="inlineStr">
        <is>
          <t>[-0.39, -0.12]</t>
        </is>
      </c>
      <c r="G115" t="inlineStr">
        <is>
          <t>&lt; .001</t>
        </is>
      </c>
      <c r="H115" t="inlineStr">
        <is>
          <t>✓</t>
        </is>
      </c>
    </row>
    <row r="116">
      <c r="A116" t="inlineStr">
        <is>
          <t>R_FOP2_ROI</t>
        </is>
      </c>
      <c r="B116" t="n">
        <v>-3.17</v>
      </c>
      <c r="C116" t="n">
        <v>821</v>
      </c>
      <c r="D116">
        <f> 0.002</f>
        <v/>
      </c>
      <c r="E116" t="n">
        <v>-0.22</v>
      </c>
      <c r="F116" t="inlineStr">
        <is>
          <t>[-0.36, -0.08]</t>
        </is>
      </c>
      <c r="G116">
        <f> 0.002</f>
        <v/>
      </c>
      <c r="H116" t="inlineStr">
        <is>
          <t>✓</t>
        </is>
      </c>
    </row>
    <row r="117">
      <c r="A117" t="inlineStr">
        <is>
          <t>R_PFt_ROI</t>
        </is>
      </c>
      <c r="B117" t="n">
        <v>-4.93</v>
      </c>
      <c r="C117" t="n">
        <v>821</v>
      </c>
      <c r="D117" t="inlineStr">
        <is>
          <t>&lt; .001</t>
        </is>
      </c>
      <c r="E117" t="n">
        <v>-0.34</v>
      </c>
      <c r="F117" t="inlineStr">
        <is>
          <t>[-0.48, -0.21]</t>
        </is>
      </c>
      <c r="G117" t="inlineStr">
        <is>
          <t>&lt; .001</t>
        </is>
      </c>
      <c r="H117" t="inlineStr">
        <is>
          <t>✓</t>
        </is>
      </c>
    </row>
    <row r="118">
      <c r="A118" t="inlineStr">
        <is>
          <t>R_AIP_ROI</t>
        </is>
      </c>
      <c r="B118" t="n">
        <v>-5.84</v>
      </c>
      <c r="C118" t="n">
        <v>821</v>
      </c>
      <c r="D118" t="inlineStr">
        <is>
          <t>&lt; .001</t>
        </is>
      </c>
      <c r="E118" t="n">
        <v>-0.41</v>
      </c>
      <c r="F118" t="inlineStr">
        <is>
          <t>[-0.55, -0.27]</t>
        </is>
      </c>
      <c r="G118" t="inlineStr">
        <is>
          <t>&lt; .001</t>
        </is>
      </c>
      <c r="H118" t="inlineStr">
        <is>
          <t>✓</t>
        </is>
      </c>
    </row>
    <row r="119">
      <c r="A119" t="inlineStr">
        <is>
          <t>R_EC_ROI</t>
        </is>
      </c>
      <c r="B119" t="n">
        <v>-1.02</v>
      </c>
      <c r="C119" t="n">
        <v>821</v>
      </c>
      <c r="D119">
        <f> 0.309</f>
        <v/>
      </c>
      <c r="E119" t="n">
        <v>-0.07000000000000001</v>
      </c>
      <c r="F119" t="inlineStr">
        <is>
          <t>[-0.21, 0.07]</t>
        </is>
      </c>
      <c r="G119">
        <f> 0.317</f>
        <v/>
      </c>
      <c r="H119" t="inlineStr"/>
    </row>
    <row r="120">
      <c r="A120" t="inlineStr">
        <is>
          <t>R_PreS_ROI</t>
        </is>
      </c>
      <c r="B120" t="n">
        <v>-2.02</v>
      </c>
      <c r="C120" t="n">
        <v>821</v>
      </c>
      <c r="D120">
        <f> 0.043</f>
        <v/>
      </c>
      <c r="E120" t="n">
        <v>-0.14</v>
      </c>
      <c r="F120" t="inlineStr">
        <is>
          <t>[-0.28, -0.00]</t>
        </is>
      </c>
      <c r="G120">
        <f> 0.048</f>
        <v/>
      </c>
      <c r="H120" t="inlineStr">
        <is>
          <t>✓</t>
        </is>
      </c>
    </row>
    <row r="121">
      <c r="A121" t="inlineStr">
        <is>
          <t>R_H_ROI</t>
        </is>
      </c>
      <c r="B121" t="n">
        <v>-3.9</v>
      </c>
      <c r="C121" t="n">
        <v>821</v>
      </c>
      <c r="D121" t="inlineStr">
        <is>
          <t>&lt; .001</t>
        </is>
      </c>
      <c r="E121" t="n">
        <v>-0.27</v>
      </c>
      <c r="F121" t="inlineStr">
        <is>
          <t>[-0.41, -0.13]</t>
        </is>
      </c>
      <c r="G121" t="inlineStr">
        <is>
          <t>&lt; .001</t>
        </is>
      </c>
      <c r="H121" t="inlineStr">
        <is>
          <t>✓</t>
        </is>
      </c>
    </row>
    <row r="122">
      <c r="A122" t="inlineStr">
        <is>
          <t>R_ProS_ROI</t>
        </is>
      </c>
      <c r="B122" t="n">
        <v>-3.28</v>
      </c>
      <c r="C122" t="n">
        <v>821</v>
      </c>
      <c r="D122">
        <f> 0.001</f>
        <v/>
      </c>
      <c r="E122" t="n">
        <v>-0.23</v>
      </c>
      <c r="F122" t="inlineStr">
        <is>
          <t>[-0.37, -0.09]</t>
        </is>
      </c>
      <c r="G122">
        <f> 0.002</f>
        <v/>
      </c>
      <c r="H122" t="inlineStr">
        <is>
          <t>✓</t>
        </is>
      </c>
    </row>
    <row r="123">
      <c r="A123" t="inlineStr">
        <is>
          <t>R_PeEc_ROI</t>
        </is>
      </c>
      <c r="B123" t="n">
        <v>-3.46</v>
      </c>
      <c r="C123" t="n">
        <v>821</v>
      </c>
      <c r="D123" t="inlineStr">
        <is>
          <t>&lt; .001</t>
        </is>
      </c>
      <c r="E123" t="n">
        <v>-0.24</v>
      </c>
      <c r="F123" t="inlineStr">
        <is>
          <t>[-0.38, -0.10]</t>
        </is>
      </c>
      <c r="G123" t="inlineStr">
        <is>
          <t>&lt; .001</t>
        </is>
      </c>
      <c r="H123" t="inlineStr">
        <is>
          <t>✓</t>
        </is>
      </c>
    </row>
    <row r="124">
      <c r="A124" t="inlineStr">
        <is>
          <t>R_STGa_ROI</t>
        </is>
      </c>
      <c r="B124" t="n">
        <v>-3.1</v>
      </c>
      <c r="C124" t="n">
        <v>821</v>
      </c>
      <c r="D124">
        <f> 0.002</f>
        <v/>
      </c>
      <c r="E124" t="n">
        <v>-0.22</v>
      </c>
      <c r="F124" t="inlineStr">
        <is>
          <t>[-0.35, -0.08]</t>
        </is>
      </c>
      <c r="G124">
        <f> 0.003</f>
        <v/>
      </c>
      <c r="H124" t="inlineStr">
        <is>
          <t>✓</t>
        </is>
      </c>
    </row>
    <row r="125">
      <c r="A125" t="inlineStr">
        <is>
          <t>R_PBelt_ROI</t>
        </is>
      </c>
      <c r="B125" t="n">
        <v>-4.23</v>
      </c>
      <c r="C125" t="n">
        <v>821</v>
      </c>
      <c r="D125" t="inlineStr">
        <is>
          <t>&lt; .001</t>
        </is>
      </c>
      <c r="E125" t="n">
        <v>-0.3</v>
      </c>
      <c r="F125" t="inlineStr">
        <is>
          <t>[-0.43, -0.16]</t>
        </is>
      </c>
      <c r="G125" t="inlineStr">
        <is>
          <t>&lt; .001</t>
        </is>
      </c>
      <c r="H125" t="inlineStr">
        <is>
          <t>✓</t>
        </is>
      </c>
    </row>
    <row r="126">
      <c r="A126" t="inlineStr">
        <is>
          <t>R_A5_ROI</t>
        </is>
      </c>
      <c r="B126" t="n">
        <v>-3.25</v>
      </c>
      <c r="C126" t="n">
        <v>821</v>
      </c>
      <c r="D126">
        <f> 0.001</f>
        <v/>
      </c>
      <c r="E126" t="n">
        <v>-0.23</v>
      </c>
      <c r="F126" t="inlineStr">
        <is>
          <t>[-0.36, -0.09]</t>
        </is>
      </c>
      <c r="G126">
        <f> 0.002</f>
        <v/>
      </c>
      <c r="H126" t="inlineStr">
        <is>
          <t>✓</t>
        </is>
      </c>
    </row>
    <row r="127">
      <c r="A127" t="inlineStr">
        <is>
          <t>R_PHA1_ROI</t>
        </is>
      </c>
      <c r="B127" t="n">
        <v>-3.24</v>
      </c>
      <c r="C127" t="n">
        <v>821</v>
      </c>
      <c r="D127">
        <f> 0.001</f>
        <v/>
      </c>
      <c r="E127" t="n">
        <v>-0.23</v>
      </c>
      <c r="F127" t="inlineStr">
        <is>
          <t>[-0.36, -0.09]</t>
        </is>
      </c>
      <c r="G127">
        <f> 0.002</f>
        <v/>
      </c>
      <c r="H127" t="inlineStr">
        <is>
          <t>✓</t>
        </is>
      </c>
    </row>
    <row r="128">
      <c r="A128" t="inlineStr">
        <is>
          <t>R_PHA3_ROI</t>
        </is>
      </c>
      <c r="B128" t="n">
        <v>-3.88</v>
      </c>
      <c r="C128" t="n">
        <v>821</v>
      </c>
      <c r="D128" t="inlineStr">
        <is>
          <t>&lt; .001</t>
        </is>
      </c>
      <c r="E128" t="n">
        <v>-0.27</v>
      </c>
      <c r="F128" t="inlineStr">
        <is>
          <t>[-0.41, -0.13]</t>
        </is>
      </c>
      <c r="G128" t="inlineStr">
        <is>
          <t>&lt; .001</t>
        </is>
      </c>
      <c r="H128" t="inlineStr">
        <is>
          <t>✓</t>
        </is>
      </c>
    </row>
    <row r="129">
      <c r="A129" t="inlineStr">
        <is>
          <t>R_STSda_ROI</t>
        </is>
      </c>
      <c r="B129" t="n">
        <v>-2.69</v>
      </c>
      <c r="C129" t="n">
        <v>821</v>
      </c>
      <c r="D129">
        <f> 0.007</f>
        <v/>
      </c>
      <c r="E129" t="n">
        <v>-0.19</v>
      </c>
      <c r="F129" t="inlineStr">
        <is>
          <t>[-0.32, -0.05]</t>
        </is>
      </c>
      <c r="G129">
        <f> 0.009</f>
        <v/>
      </c>
      <c r="H129" t="inlineStr">
        <is>
          <t>✓</t>
        </is>
      </c>
    </row>
    <row r="130">
      <c r="A130" t="inlineStr">
        <is>
          <t>R_STSdp_ROI</t>
        </is>
      </c>
      <c r="B130" t="n">
        <v>-4.01</v>
      </c>
      <c r="C130" t="n">
        <v>821</v>
      </c>
      <c r="D130" t="inlineStr">
        <is>
          <t>&lt; .001</t>
        </is>
      </c>
      <c r="E130" t="n">
        <v>-0.28</v>
      </c>
      <c r="F130" t="inlineStr">
        <is>
          <t>[-0.42, -0.14]</t>
        </is>
      </c>
      <c r="G130" t="inlineStr">
        <is>
          <t>&lt; .001</t>
        </is>
      </c>
      <c r="H130" t="inlineStr">
        <is>
          <t>✓</t>
        </is>
      </c>
    </row>
    <row r="131">
      <c r="A131" t="inlineStr">
        <is>
          <t>R_STSvp_ROI</t>
        </is>
      </c>
      <c r="B131" t="n">
        <v>-4.33</v>
      </c>
      <c r="C131" t="n">
        <v>821</v>
      </c>
      <c r="D131" t="inlineStr">
        <is>
          <t>&lt; .001</t>
        </is>
      </c>
      <c r="E131" t="n">
        <v>-0.3</v>
      </c>
      <c r="F131" t="inlineStr">
        <is>
          <t>[-0.44, -0.16]</t>
        </is>
      </c>
      <c r="G131" t="inlineStr">
        <is>
          <t>&lt; .001</t>
        </is>
      </c>
      <c r="H131" t="inlineStr">
        <is>
          <t>✓</t>
        </is>
      </c>
    </row>
    <row r="132">
      <c r="A132" t="inlineStr">
        <is>
          <t>R_TGd_ROI</t>
        </is>
      </c>
      <c r="B132" t="n">
        <v>-2.85</v>
      </c>
      <c r="C132" t="n">
        <v>821</v>
      </c>
      <c r="D132">
        <f> 0.004</f>
        <v/>
      </c>
      <c r="E132" t="n">
        <v>-0.2</v>
      </c>
      <c r="F132" t="inlineStr">
        <is>
          <t>[-0.34, -0.06]</t>
        </is>
      </c>
      <c r="G132">
        <f> 0.006</f>
        <v/>
      </c>
      <c r="H132" t="inlineStr">
        <is>
          <t>✓</t>
        </is>
      </c>
    </row>
    <row r="133">
      <c r="A133" t="inlineStr">
        <is>
          <t>R_TE1a_ROI</t>
        </is>
      </c>
      <c r="B133" t="n">
        <v>-3.68</v>
      </c>
      <c r="C133" t="n">
        <v>821</v>
      </c>
      <c r="D133" t="inlineStr">
        <is>
          <t>&lt; .001</t>
        </is>
      </c>
      <c r="E133" t="n">
        <v>-0.26</v>
      </c>
      <c r="F133" t="inlineStr">
        <is>
          <t>[-0.39, -0.12]</t>
        </is>
      </c>
      <c r="G133" t="inlineStr">
        <is>
          <t>&lt; .001</t>
        </is>
      </c>
      <c r="H133" t="inlineStr">
        <is>
          <t>✓</t>
        </is>
      </c>
    </row>
    <row r="134">
      <c r="A134" t="inlineStr">
        <is>
          <t>R_TE1p_ROI</t>
        </is>
      </c>
      <c r="B134" t="n">
        <v>-4.06</v>
      </c>
      <c r="C134" t="n">
        <v>821</v>
      </c>
      <c r="D134" t="inlineStr">
        <is>
          <t>&lt; .001</t>
        </is>
      </c>
      <c r="E134" t="n">
        <v>-0.28</v>
      </c>
      <c r="F134" t="inlineStr">
        <is>
          <t>[-0.42, -0.15]</t>
        </is>
      </c>
      <c r="G134" t="inlineStr">
        <is>
          <t>&lt; .001</t>
        </is>
      </c>
      <c r="H134" t="inlineStr">
        <is>
          <t>✓</t>
        </is>
      </c>
    </row>
    <row r="135">
      <c r="A135" t="inlineStr">
        <is>
          <t>R_TE2a_ROI</t>
        </is>
      </c>
      <c r="B135" t="n">
        <v>-3.31</v>
      </c>
      <c r="C135" t="n">
        <v>821</v>
      </c>
      <c r="D135" t="inlineStr">
        <is>
          <t>&lt; .001</t>
        </is>
      </c>
      <c r="E135" t="n">
        <v>-0.23</v>
      </c>
      <c r="F135" t="inlineStr">
        <is>
          <t>[-0.37, -0.09]</t>
        </is>
      </c>
      <c r="G135">
        <f> 0.002</f>
        <v/>
      </c>
      <c r="H135" t="inlineStr">
        <is>
          <t>✓</t>
        </is>
      </c>
    </row>
    <row r="136">
      <c r="A136" t="inlineStr">
        <is>
          <t>R_TF_ROI</t>
        </is>
      </c>
      <c r="B136" t="n">
        <v>-3.3</v>
      </c>
      <c r="C136" t="n">
        <v>821</v>
      </c>
      <c r="D136" t="inlineStr">
        <is>
          <t>&lt; .001</t>
        </is>
      </c>
      <c r="E136" t="n">
        <v>-0.23</v>
      </c>
      <c r="F136" t="inlineStr">
        <is>
          <t>[-0.37, -0.09]</t>
        </is>
      </c>
      <c r="G136">
        <f> 0.002</f>
        <v/>
      </c>
      <c r="H136" t="inlineStr">
        <is>
          <t>✓</t>
        </is>
      </c>
    </row>
    <row r="137">
      <c r="A137" t="inlineStr">
        <is>
          <t>R_TE2p_ROI</t>
        </is>
      </c>
      <c r="B137" t="n">
        <v>-1.84</v>
      </c>
      <c r="C137" t="n">
        <v>821</v>
      </c>
      <c r="D137">
        <f> 0.066</f>
        <v/>
      </c>
      <c r="E137" t="n">
        <v>-0.13</v>
      </c>
      <c r="F137" t="inlineStr">
        <is>
          <t>[-0.26, 0.01]</t>
        </is>
      </c>
      <c r="G137">
        <f> 0.072</f>
        <v/>
      </c>
      <c r="H137" t="inlineStr"/>
    </row>
    <row r="138">
      <c r="A138" t="inlineStr">
        <is>
          <t>R_PHT_ROI</t>
        </is>
      </c>
      <c r="B138" t="n">
        <v>-4.62</v>
      </c>
      <c r="C138" t="n">
        <v>821</v>
      </c>
      <c r="D138" t="inlineStr">
        <is>
          <t>&lt; .001</t>
        </is>
      </c>
      <c r="E138" t="n">
        <v>-0.32</v>
      </c>
      <c r="F138" t="inlineStr">
        <is>
          <t>[-0.46, -0.18]</t>
        </is>
      </c>
      <c r="G138" t="inlineStr">
        <is>
          <t>&lt; .001</t>
        </is>
      </c>
      <c r="H138" t="inlineStr">
        <is>
          <t>✓</t>
        </is>
      </c>
    </row>
    <row r="139">
      <c r="A139" t="inlineStr">
        <is>
          <t>R_PH_ROI</t>
        </is>
      </c>
      <c r="B139" t="n">
        <v>-3.39</v>
      </c>
      <c r="C139" t="n">
        <v>821</v>
      </c>
      <c r="D139" t="inlineStr">
        <is>
          <t>&lt; .001</t>
        </is>
      </c>
      <c r="E139" t="n">
        <v>-0.24</v>
      </c>
      <c r="F139" t="inlineStr">
        <is>
          <t>[-0.37, -0.10]</t>
        </is>
      </c>
      <c r="G139">
        <f> 0.001</f>
        <v/>
      </c>
      <c r="H139" t="inlineStr">
        <is>
          <t>✓</t>
        </is>
      </c>
    </row>
    <row r="140">
      <c r="A140" t="inlineStr">
        <is>
          <t>R_TPOJ1_ROI</t>
        </is>
      </c>
      <c r="B140" t="n">
        <v>-4.39</v>
      </c>
      <c r="C140" t="n">
        <v>821</v>
      </c>
      <c r="D140" t="inlineStr">
        <is>
          <t>&lt; .001</t>
        </is>
      </c>
      <c r="E140" t="n">
        <v>-0.31</v>
      </c>
      <c r="F140" t="inlineStr">
        <is>
          <t>[-0.44, -0.17]</t>
        </is>
      </c>
      <c r="G140" t="inlineStr">
        <is>
          <t>&lt; .001</t>
        </is>
      </c>
      <c r="H140" t="inlineStr">
        <is>
          <t>✓</t>
        </is>
      </c>
    </row>
    <row r="141">
      <c r="A141" t="inlineStr">
        <is>
          <t>R_TPOJ2_ROI</t>
        </is>
      </c>
      <c r="B141" t="n">
        <v>-3.59</v>
      </c>
      <c r="C141" t="n">
        <v>821</v>
      </c>
      <c r="D141" t="inlineStr">
        <is>
          <t>&lt; .001</t>
        </is>
      </c>
      <c r="E141" t="n">
        <v>-0.25</v>
      </c>
      <c r="F141" t="inlineStr">
        <is>
          <t>[-0.39, -0.11]</t>
        </is>
      </c>
      <c r="G141" t="inlineStr">
        <is>
          <t>&lt; .001</t>
        </is>
      </c>
      <c r="H141" t="inlineStr">
        <is>
          <t>✓</t>
        </is>
      </c>
    </row>
    <row r="142">
      <c r="A142" t="inlineStr">
        <is>
          <t>R_TPOJ3_ROI</t>
        </is>
      </c>
      <c r="B142" t="n">
        <v>-1.88</v>
      </c>
      <c r="C142" t="n">
        <v>821</v>
      </c>
      <c r="D142">
        <f> 0.061</f>
        <v/>
      </c>
      <c r="E142" t="n">
        <v>-0.13</v>
      </c>
      <c r="F142" t="inlineStr">
        <is>
          <t>[-0.27, 0.01]</t>
        </is>
      </c>
      <c r="G142">
        <f> 0.066</f>
        <v/>
      </c>
      <c r="H142" t="inlineStr"/>
    </row>
    <row r="143">
      <c r="A143" t="inlineStr">
        <is>
          <t>R_DVT_ROI</t>
        </is>
      </c>
      <c r="B143" t="n">
        <v>-4.83</v>
      </c>
      <c r="C143" t="n">
        <v>821</v>
      </c>
      <c r="D143" t="inlineStr">
        <is>
          <t>&lt; .001</t>
        </is>
      </c>
      <c r="E143" t="n">
        <v>-0.34</v>
      </c>
      <c r="F143" t="inlineStr">
        <is>
          <t>[-0.47, -0.20]</t>
        </is>
      </c>
      <c r="G143" t="inlineStr">
        <is>
          <t>&lt; .001</t>
        </is>
      </c>
      <c r="H143" t="inlineStr">
        <is>
          <t>✓</t>
        </is>
      </c>
    </row>
    <row r="144">
      <c r="A144" t="inlineStr">
        <is>
          <t>R_PGp_ROI</t>
        </is>
      </c>
      <c r="B144" t="n">
        <v>-3.72</v>
      </c>
      <c r="C144" t="n">
        <v>821</v>
      </c>
      <c r="D144" t="inlineStr">
        <is>
          <t>&lt; .001</t>
        </is>
      </c>
      <c r="E144" t="n">
        <v>-0.26</v>
      </c>
      <c r="F144" t="inlineStr">
        <is>
          <t>[-0.40, -0.12]</t>
        </is>
      </c>
      <c r="G144" t="inlineStr">
        <is>
          <t>&lt; .001</t>
        </is>
      </c>
      <c r="H144" t="inlineStr">
        <is>
          <t>✓</t>
        </is>
      </c>
    </row>
    <row r="145">
      <c r="A145" t="inlineStr">
        <is>
          <t>R_IP2_ROI</t>
        </is>
      </c>
      <c r="B145" t="n">
        <v>-5.05</v>
      </c>
      <c r="C145" t="n">
        <v>821</v>
      </c>
      <c r="D145" t="inlineStr">
        <is>
          <t>&lt; .001</t>
        </is>
      </c>
      <c r="E145" t="n">
        <v>-0.35</v>
      </c>
      <c r="F145" t="inlineStr">
        <is>
          <t>[-0.49, -0.21]</t>
        </is>
      </c>
      <c r="G145" t="inlineStr">
        <is>
          <t>&lt; .001</t>
        </is>
      </c>
      <c r="H145" t="inlineStr">
        <is>
          <t>✓</t>
        </is>
      </c>
    </row>
    <row r="146">
      <c r="A146" t="inlineStr">
        <is>
          <t>R_IP1_ROI</t>
        </is>
      </c>
      <c r="B146" t="n">
        <v>-4.58</v>
      </c>
      <c r="C146" t="n">
        <v>821</v>
      </c>
      <c r="D146" t="inlineStr">
        <is>
          <t>&lt; .001</t>
        </is>
      </c>
      <c r="E146" t="n">
        <v>-0.32</v>
      </c>
      <c r="F146" t="inlineStr">
        <is>
          <t>[-0.46, -0.18]</t>
        </is>
      </c>
      <c r="G146" t="inlineStr">
        <is>
          <t>&lt; .001</t>
        </is>
      </c>
      <c r="H146" t="inlineStr">
        <is>
          <t>✓</t>
        </is>
      </c>
    </row>
    <row r="147">
      <c r="A147" t="inlineStr">
        <is>
          <t>R_IP0_ROI</t>
        </is>
      </c>
      <c r="B147" t="n">
        <v>-2.87</v>
      </c>
      <c r="C147" t="n">
        <v>821</v>
      </c>
      <c r="D147">
        <f> 0.004</f>
        <v/>
      </c>
      <c r="E147" t="n">
        <v>-0.2</v>
      </c>
      <c r="F147" t="inlineStr">
        <is>
          <t>[-0.34, -0.06]</t>
        </is>
      </c>
      <c r="G147">
        <f> 0.006</f>
        <v/>
      </c>
      <c r="H147" t="inlineStr">
        <is>
          <t>✓</t>
        </is>
      </c>
    </row>
    <row r="148">
      <c r="A148" t="inlineStr">
        <is>
          <t>R_PFop_ROI</t>
        </is>
      </c>
      <c r="B148" t="n">
        <v>-4.62</v>
      </c>
      <c r="C148" t="n">
        <v>821</v>
      </c>
      <c r="D148" t="inlineStr">
        <is>
          <t>&lt; .001</t>
        </is>
      </c>
      <c r="E148" t="n">
        <v>-0.32</v>
      </c>
      <c r="F148" t="inlineStr">
        <is>
          <t>[-0.46, -0.18]</t>
        </is>
      </c>
      <c r="G148" t="inlineStr">
        <is>
          <t>&lt; .001</t>
        </is>
      </c>
      <c r="H148" t="inlineStr">
        <is>
          <t>✓</t>
        </is>
      </c>
    </row>
    <row r="149">
      <c r="A149" t="inlineStr">
        <is>
          <t>R_PF_ROI</t>
        </is>
      </c>
      <c r="B149" t="n">
        <v>-6.18</v>
      </c>
      <c r="C149" t="n">
        <v>821</v>
      </c>
      <c r="D149" t="inlineStr">
        <is>
          <t>&lt; .001</t>
        </is>
      </c>
      <c r="E149" t="n">
        <v>-0.43</v>
      </c>
      <c r="F149" t="inlineStr">
        <is>
          <t>[-0.57, -0.29]</t>
        </is>
      </c>
      <c r="G149" t="inlineStr">
        <is>
          <t>&lt; .001</t>
        </is>
      </c>
      <c r="H149" t="inlineStr">
        <is>
          <t>✓</t>
        </is>
      </c>
    </row>
    <row r="150">
      <c r="A150" t="inlineStr">
        <is>
          <t>R_PFm_ROI</t>
        </is>
      </c>
      <c r="B150" t="n">
        <v>-5.81</v>
      </c>
      <c r="C150" t="n">
        <v>821</v>
      </c>
      <c r="D150" t="inlineStr">
        <is>
          <t>&lt; .001</t>
        </is>
      </c>
      <c r="E150" t="n">
        <v>-0.41</v>
      </c>
      <c r="F150" t="inlineStr">
        <is>
          <t>[-0.54, -0.27]</t>
        </is>
      </c>
      <c r="G150" t="inlineStr">
        <is>
          <t>&lt; .001</t>
        </is>
      </c>
      <c r="H150" t="inlineStr">
        <is>
          <t>✓</t>
        </is>
      </c>
    </row>
    <row r="151">
      <c r="A151" t="inlineStr">
        <is>
          <t>R_PGi_ROI</t>
        </is>
      </c>
      <c r="B151" t="n">
        <v>-4.47</v>
      </c>
      <c r="C151" t="n">
        <v>821</v>
      </c>
      <c r="D151" t="inlineStr">
        <is>
          <t>&lt; .001</t>
        </is>
      </c>
      <c r="E151" t="n">
        <v>-0.31</v>
      </c>
      <c r="F151" t="inlineStr">
        <is>
          <t>[-0.45, -0.17]</t>
        </is>
      </c>
      <c r="G151" t="inlineStr">
        <is>
          <t>&lt; .001</t>
        </is>
      </c>
      <c r="H151" t="inlineStr">
        <is>
          <t>✓</t>
        </is>
      </c>
    </row>
    <row r="152">
      <c r="A152" t="inlineStr">
        <is>
          <t>R_PGs_ROI</t>
        </is>
      </c>
      <c r="B152" t="n">
        <v>-5.97</v>
      </c>
      <c r="C152" t="n">
        <v>821</v>
      </c>
      <c r="D152" t="inlineStr">
        <is>
          <t>&lt; .001</t>
        </is>
      </c>
      <c r="E152" t="n">
        <v>-0.42</v>
      </c>
      <c r="F152" t="inlineStr">
        <is>
          <t>[-0.55, -0.28]</t>
        </is>
      </c>
      <c r="G152" t="inlineStr">
        <is>
          <t>&lt; .001</t>
        </is>
      </c>
      <c r="H152" t="inlineStr">
        <is>
          <t>✓</t>
        </is>
      </c>
    </row>
    <row r="153">
      <c r="A153" t="inlineStr">
        <is>
          <t>R_V6A_ROI</t>
        </is>
      </c>
      <c r="B153" t="n">
        <v>-2.51</v>
      </c>
      <c r="C153" t="n">
        <v>821</v>
      </c>
      <c r="D153">
        <f> 0.012</f>
        <v/>
      </c>
      <c r="E153" t="n">
        <v>-0.17</v>
      </c>
      <c r="F153" t="inlineStr">
        <is>
          <t>[-0.31, -0.04]</t>
        </is>
      </c>
      <c r="G153">
        <f> 0.015</f>
        <v/>
      </c>
      <c r="H153" t="inlineStr">
        <is>
          <t>✓</t>
        </is>
      </c>
    </row>
    <row r="154">
      <c r="A154" t="inlineStr">
        <is>
          <t>R_VMV1_ROI</t>
        </is>
      </c>
      <c r="B154" t="n">
        <v>-4.59</v>
      </c>
      <c r="C154" t="n">
        <v>821</v>
      </c>
      <c r="D154" t="inlineStr">
        <is>
          <t>&lt; .001</t>
        </is>
      </c>
      <c r="E154" t="n">
        <v>-0.32</v>
      </c>
      <c r="F154" t="inlineStr">
        <is>
          <t>[-0.46, -0.18]</t>
        </is>
      </c>
      <c r="G154" t="inlineStr">
        <is>
          <t>&lt; .001</t>
        </is>
      </c>
      <c r="H154" t="inlineStr">
        <is>
          <t>✓</t>
        </is>
      </c>
    </row>
    <row r="155">
      <c r="A155" t="inlineStr">
        <is>
          <t>R_VMV3_ROI</t>
        </is>
      </c>
      <c r="B155" t="n">
        <v>-4.32</v>
      </c>
      <c r="C155" t="n">
        <v>821</v>
      </c>
      <c r="D155" t="inlineStr">
        <is>
          <t>&lt; .001</t>
        </is>
      </c>
      <c r="E155" t="n">
        <v>-0.3</v>
      </c>
      <c r="F155" t="inlineStr">
        <is>
          <t>[-0.44, -0.16]</t>
        </is>
      </c>
      <c r="G155" t="inlineStr">
        <is>
          <t>&lt; .001</t>
        </is>
      </c>
      <c r="H155" t="inlineStr">
        <is>
          <t>✓</t>
        </is>
      </c>
    </row>
    <row r="156">
      <c r="A156" t="inlineStr">
        <is>
          <t>R_PHA2_ROI</t>
        </is>
      </c>
      <c r="B156" t="n">
        <v>-3.68</v>
      </c>
      <c r="C156" t="n">
        <v>821</v>
      </c>
      <c r="D156" t="inlineStr">
        <is>
          <t>&lt; .001</t>
        </is>
      </c>
      <c r="E156" t="n">
        <v>-0.26</v>
      </c>
      <c r="F156" t="inlineStr">
        <is>
          <t>[-0.39, -0.12]</t>
        </is>
      </c>
      <c r="G156" t="inlineStr">
        <is>
          <t>&lt; .001</t>
        </is>
      </c>
      <c r="H156" t="inlineStr">
        <is>
          <t>✓</t>
        </is>
      </c>
    </row>
    <row r="157">
      <c r="A157" t="inlineStr">
        <is>
          <t>R_V4t_ROI</t>
        </is>
      </c>
      <c r="B157" t="n">
        <v>-2.22</v>
      </c>
      <c r="C157" t="n">
        <v>821</v>
      </c>
      <c r="D157">
        <f> 0.027</f>
        <v/>
      </c>
      <c r="E157" t="n">
        <v>-0.15</v>
      </c>
      <c r="F157" t="inlineStr">
        <is>
          <t>[-0.29, -0.02]</t>
        </is>
      </c>
      <c r="G157">
        <f> 0.031</f>
        <v/>
      </c>
      <c r="H157" t="inlineStr">
        <is>
          <t>✓</t>
        </is>
      </c>
    </row>
    <row r="158">
      <c r="A158" t="inlineStr">
        <is>
          <t>R_FST_ROI</t>
        </is>
      </c>
      <c r="B158" t="n">
        <v>-4.44</v>
      </c>
      <c r="C158" t="n">
        <v>821</v>
      </c>
      <c r="D158" t="inlineStr">
        <is>
          <t>&lt; .001</t>
        </is>
      </c>
      <c r="E158" t="n">
        <v>-0.31</v>
      </c>
      <c r="F158" t="inlineStr">
        <is>
          <t>[-0.45, -0.17]</t>
        </is>
      </c>
      <c r="G158" t="inlineStr">
        <is>
          <t>&lt; .001</t>
        </is>
      </c>
      <c r="H158" t="inlineStr">
        <is>
          <t>✓</t>
        </is>
      </c>
    </row>
    <row r="159">
      <c r="A159" t="inlineStr">
        <is>
          <t>R_V3CD_ROI</t>
        </is>
      </c>
      <c r="B159" t="n">
        <v>-3.78</v>
      </c>
      <c r="C159" t="n">
        <v>821</v>
      </c>
      <c r="D159" t="inlineStr">
        <is>
          <t>&lt; .001</t>
        </is>
      </c>
      <c r="E159" t="n">
        <v>-0.26</v>
      </c>
      <c r="F159" t="inlineStr">
        <is>
          <t>[-0.40, -0.13]</t>
        </is>
      </c>
      <c r="G159" t="inlineStr">
        <is>
          <t>&lt; .001</t>
        </is>
      </c>
      <c r="H159" t="inlineStr">
        <is>
          <t>✓</t>
        </is>
      </c>
    </row>
    <row r="160">
      <c r="A160" t="inlineStr">
        <is>
          <t>R_LO3_ROI</t>
        </is>
      </c>
      <c r="B160" t="n">
        <v>-3.55</v>
      </c>
      <c r="C160" t="n">
        <v>821</v>
      </c>
      <c r="D160" t="inlineStr">
        <is>
          <t>&lt; .001</t>
        </is>
      </c>
      <c r="E160" t="n">
        <v>-0.25</v>
      </c>
      <c r="F160" t="inlineStr">
        <is>
          <t>[-0.38, -0.11]</t>
        </is>
      </c>
      <c r="G160" t="inlineStr">
        <is>
          <t>&lt; .001</t>
        </is>
      </c>
      <c r="H160" t="inlineStr">
        <is>
          <t>✓</t>
        </is>
      </c>
    </row>
    <row r="161">
      <c r="A161" t="inlineStr">
        <is>
          <t>R_VMV2_ROI</t>
        </is>
      </c>
      <c r="B161" t="n">
        <v>-4.54</v>
      </c>
      <c r="C161" t="n">
        <v>821</v>
      </c>
      <c r="D161" t="inlineStr">
        <is>
          <t>&lt; .001</t>
        </is>
      </c>
      <c r="E161" t="n">
        <v>-0.32</v>
      </c>
      <c r="F161" t="inlineStr">
        <is>
          <t>[-0.45, -0.18]</t>
        </is>
      </c>
      <c r="G161" t="inlineStr">
        <is>
          <t>&lt; .001</t>
        </is>
      </c>
      <c r="H161" t="inlineStr">
        <is>
          <t>✓</t>
        </is>
      </c>
    </row>
    <row r="162">
      <c r="A162" t="inlineStr">
        <is>
          <t>R_31pd_ROI</t>
        </is>
      </c>
      <c r="B162" t="n">
        <v>-3.56</v>
      </c>
      <c r="C162" t="n">
        <v>821</v>
      </c>
      <c r="D162" t="inlineStr">
        <is>
          <t>&lt; .001</t>
        </is>
      </c>
      <c r="E162" t="n">
        <v>-0.25</v>
      </c>
      <c r="F162" t="inlineStr">
        <is>
          <t>[-0.39, -0.11]</t>
        </is>
      </c>
      <c r="G162" t="inlineStr">
        <is>
          <t>&lt; .001</t>
        </is>
      </c>
      <c r="H162" t="inlineStr">
        <is>
          <t>✓</t>
        </is>
      </c>
    </row>
    <row r="163">
      <c r="A163" t="inlineStr">
        <is>
          <t>R_31a_ROI</t>
        </is>
      </c>
      <c r="B163" t="n">
        <v>-3.66</v>
      </c>
      <c r="C163" t="n">
        <v>821</v>
      </c>
      <c r="D163" t="inlineStr">
        <is>
          <t>&lt; .001</t>
        </is>
      </c>
      <c r="E163" t="n">
        <v>-0.25</v>
      </c>
      <c r="F163" t="inlineStr">
        <is>
          <t>[-0.39, -0.12]</t>
        </is>
      </c>
      <c r="G163" t="inlineStr">
        <is>
          <t>&lt; .001</t>
        </is>
      </c>
      <c r="H163" t="inlineStr">
        <is>
          <t>✓</t>
        </is>
      </c>
    </row>
    <row r="164">
      <c r="A164" t="inlineStr">
        <is>
          <t>R_VVC_ROI</t>
        </is>
      </c>
      <c r="B164" t="n">
        <v>-4.15</v>
      </c>
      <c r="C164" t="n">
        <v>821</v>
      </c>
      <c r="D164" t="inlineStr">
        <is>
          <t>&lt; .001</t>
        </is>
      </c>
      <c r="E164" t="n">
        <v>-0.29</v>
      </c>
      <c r="F164" t="inlineStr">
        <is>
          <t>[-0.43, -0.15]</t>
        </is>
      </c>
      <c r="G164" t="inlineStr">
        <is>
          <t>&lt; .001</t>
        </is>
      </c>
      <c r="H164" t="inlineStr">
        <is>
          <t>✓</t>
        </is>
      </c>
    </row>
    <row r="165">
      <c r="A165" t="inlineStr">
        <is>
          <t>R_25_ROI</t>
        </is>
      </c>
      <c r="B165" t="n">
        <v>-3.07</v>
      </c>
      <c r="C165" t="n">
        <v>821</v>
      </c>
      <c r="D165">
        <f> 0.002</f>
        <v/>
      </c>
      <c r="E165" t="n">
        <v>-0.21</v>
      </c>
      <c r="F165" t="inlineStr">
        <is>
          <t>[-0.35, -0.08]</t>
        </is>
      </c>
      <c r="G165">
        <f> 0.003</f>
        <v/>
      </c>
      <c r="H165" t="inlineStr">
        <is>
          <t>✓</t>
        </is>
      </c>
    </row>
    <row r="166">
      <c r="A166" t="inlineStr">
        <is>
          <t>R_s32_ROI</t>
        </is>
      </c>
      <c r="B166" t="n">
        <v>0.9</v>
      </c>
      <c r="C166" t="n">
        <v>821</v>
      </c>
      <c r="D166">
        <f> 0.366</f>
        <v/>
      </c>
      <c r="E166" t="n">
        <v>0.06</v>
      </c>
      <c r="F166" t="inlineStr">
        <is>
          <t>[-0.07, 0.20]</t>
        </is>
      </c>
      <c r="G166">
        <f> 0.375</f>
        <v/>
      </c>
      <c r="H166" t="inlineStr"/>
    </row>
    <row r="167">
      <c r="A167" t="inlineStr">
        <is>
          <t>R_pOFC_ROI</t>
        </is>
      </c>
      <c r="B167" t="n">
        <v>-4.03</v>
      </c>
      <c r="C167" t="n">
        <v>821</v>
      </c>
      <c r="D167" t="inlineStr">
        <is>
          <t>&lt; .001</t>
        </is>
      </c>
      <c r="E167" t="n">
        <v>-0.28</v>
      </c>
      <c r="F167" t="inlineStr">
        <is>
          <t>[-0.42, -0.14]</t>
        </is>
      </c>
      <c r="G167" t="inlineStr">
        <is>
          <t>&lt; .001</t>
        </is>
      </c>
      <c r="H167" t="inlineStr">
        <is>
          <t>✓</t>
        </is>
      </c>
    </row>
    <row r="168">
      <c r="A168" t="inlineStr">
        <is>
          <t>R_PoI1_ROI</t>
        </is>
      </c>
      <c r="B168" t="n">
        <v>-3.47</v>
      </c>
      <c r="C168" t="n">
        <v>821</v>
      </c>
      <c r="D168" t="inlineStr">
        <is>
          <t>&lt; .001</t>
        </is>
      </c>
      <c r="E168" t="n">
        <v>-0.24</v>
      </c>
      <c r="F168" t="inlineStr">
        <is>
          <t>[-0.38, -0.10]</t>
        </is>
      </c>
      <c r="G168" t="inlineStr">
        <is>
          <t>&lt; .001</t>
        </is>
      </c>
      <c r="H168" t="inlineStr">
        <is>
          <t>✓</t>
        </is>
      </c>
    </row>
    <row r="169">
      <c r="A169" t="inlineStr">
        <is>
          <t>R_Ig_ROI</t>
        </is>
      </c>
      <c r="B169" t="n">
        <v>-4.55</v>
      </c>
      <c r="C169" t="n">
        <v>821</v>
      </c>
      <c r="D169" t="inlineStr">
        <is>
          <t>&lt; .001</t>
        </is>
      </c>
      <c r="E169" t="n">
        <v>-0.32</v>
      </c>
      <c r="F169" t="inlineStr">
        <is>
          <t>[-0.45, -0.18]</t>
        </is>
      </c>
      <c r="G169" t="inlineStr">
        <is>
          <t>&lt; .001</t>
        </is>
      </c>
      <c r="H169" t="inlineStr">
        <is>
          <t>✓</t>
        </is>
      </c>
    </row>
    <row r="170">
      <c r="A170" t="inlineStr">
        <is>
          <t>R_FOP5_ROI</t>
        </is>
      </c>
      <c r="B170" t="n">
        <v>-3.89</v>
      </c>
      <c r="C170" t="n">
        <v>821</v>
      </c>
      <c r="D170" t="inlineStr">
        <is>
          <t>&lt; .001</t>
        </is>
      </c>
      <c r="E170" t="n">
        <v>-0.27</v>
      </c>
      <c r="F170" t="inlineStr">
        <is>
          <t>[-0.41, -0.13]</t>
        </is>
      </c>
      <c r="G170" t="inlineStr">
        <is>
          <t>&lt; .001</t>
        </is>
      </c>
      <c r="H170" t="inlineStr">
        <is>
          <t>✓</t>
        </is>
      </c>
    </row>
    <row r="171">
      <c r="A171" t="inlineStr">
        <is>
          <t>R_p10p_ROI</t>
        </is>
      </c>
      <c r="B171" t="n">
        <v>-2.59</v>
      </c>
      <c r="C171" t="n">
        <v>821</v>
      </c>
      <c r="D171">
        <f> 0.010</f>
        <v/>
      </c>
      <c r="E171" t="n">
        <v>-0.18</v>
      </c>
      <c r="F171" t="inlineStr">
        <is>
          <t>[-0.32, -0.04]</t>
        </is>
      </c>
      <c r="G171">
        <f> 0.012</f>
        <v/>
      </c>
      <c r="H171" t="inlineStr">
        <is>
          <t>✓</t>
        </is>
      </c>
    </row>
    <row r="172">
      <c r="A172" t="inlineStr">
        <is>
          <t>R_p47r_ROI</t>
        </is>
      </c>
      <c r="B172" t="n">
        <v>-3.7</v>
      </c>
      <c r="C172" t="n">
        <v>821</v>
      </c>
      <c r="D172" t="inlineStr">
        <is>
          <t>&lt; .001</t>
        </is>
      </c>
      <c r="E172" t="n">
        <v>-0.26</v>
      </c>
      <c r="F172" t="inlineStr">
        <is>
          <t>[-0.39, -0.12]</t>
        </is>
      </c>
      <c r="G172" t="inlineStr">
        <is>
          <t>&lt; .001</t>
        </is>
      </c>
      <c r="H172" t="inlineStr">
        <is>
          <t>✓</t>
        </is>
      </c>
    </row>
    <row r="173">
      <c r="A173" t="inlineStr">
        <is>
          <t>R_TGv_ROI</t>
        </is>
      </c>
      <c r="B173" t="n">
        <v>-1.51</v>
      </c>
      <c r="C173" t="n">
        <v>821</v>
      </c>
      <c r="D173">
        <f> 0.130</f>
        <v/>
      </c>
      <c r="E173" t="n">
        <v>-0.11</v>
      </c>
      <c r="F173" t="inlineStr">
        <is>
          <t>[-0.24, 0.03]</t>
        </is>
      </c>
      <c r="G173">
        <f> 0.138</f>
        <v/>
      </c>
      <c r="H173" t="inlineStr"/>
    </row>
    <row r="174">
      <c r="A174" t="inlineStr">
        <is>
          <t>R_MBelt_ROI</t>
        </is>
      </c>
      <c r="B174" t="n">
        <v>-4.34</v>
      </c>
      <c r="C174" t="n">
        <v>821</v>
      </c>
      <c r="D174" t="inlineStr">
        <is>
          <t>&lt; .001</t>
        </is>
      </c>
      <c r="E174" t="n">
        <v>-0.3</v>
      </c>
      <c r="F174" t="inlineStr">
        <is>
          <t>[-0.44, -0.17]</t>
        </is>
      </c>
      <c r="G174" t="inlineStr">
        <is>
          <t>&lt; .001</t>
        </is>
      </c>
      <c r="H174" t="inlineStr">
        <is>
          <t>✓</t>
        </is>
      </c>
    </row>
    <row r="175">
      <c r="A175" t="inlineStr">
        <is>
          <t>R_LBelt_ROI</t>
        </is>
      </c>
      <c r="B175" t="n">
        <v>-5</v>
      </c>
      <c r="C175" t="n">
        <v>821</v>
      </c>
      <c r="D175" t="inlineStr">
        <is>
          <t>&lt; .001</t>
        </is>
      </c>
      <c r="E175" t="n">
        <v>-0.35</v>
      </c>
      <c r="F175" t="inlineStr">
        <is>
          <t>[-0.49, -0.21]</t>
        </is>
      </c>
      <c r="G175" t="inlineStr">
        <is>
          <t>&lt; .001</t>
        </is>
      </c>
      <c r="H175" t="inlineStr">
        <is>
          <t>✓</t>
        </is>
      </c>
    </row>
    <row r="176">
      <c r="A176" t="inlineStr">
        <is>
          <t>R_A4_ROI</t>
        </is>
      </c>
      <c r="B176" t="n">
        <v>-4.52</v>
      </c>
      <c r="C176" t="n">
        <v>821</v>
      </c>
      <c r="D176" t="inlineStr">
        <is>
          <t>&lt; .001</t>
        </is>
      </c>
      <c r="E176" t="n">
        <v>-0.32</v>
      </c>
      <c r="F176" t="inlineStr">
        <is>
          <t>[-0.45, -0.18]</t>
        </is>
      </c>
      <c r="G176" t="inlineStr">
        <is>
          <t>&lt; .001</t>
        </is>
      </c>
      <c r="H176" t="inlineStr">
        <is>
          <t>✓</t>
        </is>
      </c>
    </row>
    <row r="177">
      <c r="A177" t="inlineStr">
        <is>
          <t>R_STSva_ROI</t>
        </is>
      </c>
      <c r="B177" t="n">
        <v>-2.87</v>
      </c>
      <c r="C177" t="n">
        <v>821</v>
      </c>
      <c r="D177">
        <f> 0.004</f>
        <v/>
      </c>
      <c r="E177" t="n">
        <v>-0.2</v>
      </c>
      <c r="F177" t="inlineStr">
        <is>
          <t>[-0.34, -0.06]</t>
        </is>
      </c>
      <c r="G177">
        <f> 0.006</f>
        <v/>
      </c>
      <c r="H177" t="inlineStr">
        <is>
          <t>✓</t>
        </is>
      </c>
    </row>
    <row r="178">
      <c r="A178" t="inlineStr">
        <is>
          <t>R_TE1m_ROI</t>
        </is>
      </c>
      <c r="B178" t="n">
        <v>-3.8</v>
      </c>
      <c r="C178" t="n">
        <v>821</v>
      </c>
      <c r="D178" t="inlineStr">
        <is>
          <t>&lt; .001</t>
        </is>
      </c>
      <c r="E178" t="n">
        <v>-0.27</v>
      </c>
      <c r="F178" t="inlineStr">
        <is>
          <t>[-0.40, -0.13]</t>
        </is>
      </c>
      <c r="G178" t="inlineStr">
        <is>
          <t>&lt; .001</t>
        </is>
      </c>
      <c r="H178" t="inlineStr">
        <is>
          <t>✓</t>
        </is>
      </c>
    </row>
    <row r="179">
      <c r="A179" t="inlineStr">
        <is>
          <t>R_PI_ROI</t>
        </is>
      </c>
      <c r="B179" t="n">
        <v>-3.7</v>
      </c>
      <c r="C179" t="n">
        <v>821</v>
      </c>
      <c r="D179" t="inlineStr">
        <is>
          <t>&lt; .001</t>
        </is>
      </c>
      <c r="E179" t="n">
        <v>-0.26</v>
      </c>
      <c r="F179" t="inlineStr">
        <is>
          <t>[-0.40, -0.12]</t>
        </is>
      </c>
      <c r="G179" t="inlineStr">
        <is>
          <t>&lt; .001</t>
        </is>
      </c>
      <c r="H179" t="inlineStr">
        <is>
          <t>✓</t>
        </is>
      </c>
    </row>
    <row r="180">
      <c r="A180" t="inlineStr">
        <is>
          <t>R_a32pr_ROI</t>
        </is>
      </c>
      <c r="B180" t="n">
        <v>-4.35</v>
      </c>
      <c r="C180" t="n">
        <v>821</v>
      </c>
      <c r="D180" t="inlineStr">
        <is>
          <t>&lt; .001</t>
        </is>
      </c>
      <c r="E180" t="n">
        <v>-0.3</v>
      </c>
      <c r="F180" t="inlineStr">
        <is>
          <t>[-0.44, -0.17]</t>
        </is>
      </c>
      <c r="G180" t="inlineStr">
        <is>
          <t>&lt; .001</t>
        </is>
      </c>
      <c r="H180" t="inlineStr">
        <is>
          <t>✓</t>
        </is>
      </c>
    </row>
    <row r="181">
      <c r="A181" t="inlineStr">
        <is>
          <t>R_p24_ROI</t>
        </is>
      </c>
      <c r="B181" t="n">
        <v>-2.61</v>
      </c>
      <c r="C181" t="n">
        <v>821</v>
      </c>
      <c r="D181">
        <f> 0.009</f>
        <v/>
      </c>
      <c r="E181" t="n">
        <v>-0.18</v>
      </c>
      <c r="F181" t="inlineStr">
        <is>
          <t>[-0.32, -0.04]</t>
        </is>
      </c>
      <c r="G181">
        <f> 0.012</f>
        <v/>
      </c>
      <c r="H181" t="inlineStr">
        <is>
          <t>✓</t>
        </is>
      </c>
    </row>
    <row r="182">
      <c r="A182" t="inlineStr">
        <is>
          <t>L_V1_ROI</t>
        </is>
      </c>
      <c r="B182" t="n">
        <v>-3.49</v>
      </c>
      <c r="C182" t="n">
        <v>821</v>
      </c>
      <c r="D182" t="inlineStr">
        <is>
          <t>&lt; .001</t>
        </is>
      </c>
      <c r="E182" t="n">
        <v>-0.24</v>
      </c>
      <c r="F182" t="inlineStr">
        <is>
          <t>[-0.38, -0.11]</t>
        </is>
      </c>
      <c r="G182" t="inlineStr">
        <is>
          <t>&lt; .001</t>
        </is>
      </c>
      <c r="H182" t="inlineStr">
        <is>
          <t>✓</t>
        </is>
      </c>
    </row>
    <row r="183">
      <c r="A183" t="inlineStr">
        <is>
          <t>L_MST_ROI</t>
        </is>
      </c>
      <c r="B183" t="n">
        <v>-3.5</v>
      </c>
      <c r="C183" t="n">
        <v>821</v>
      </c>
      <c r="D183" t="inlineStr">
        <is>
          <t>&lt; .001</t>
        </is>
      </c>
      <c r="E183" t="n">
        <v>-0.24</v>
      </c>
      <c r="F183" t="inlineStr">
        <is>
          <t>[-0.38, -0.11]</t>
        </is>
      </c>
      <c r="G183" t="inlineStr">
        <is>
          <t>&lt; .001</t>
        </is>
      </c>
      <c r="H183" t="inlineStr">
        <is>
          <t>✓</t>
        </is>
      </c>
    </row>
    <row r="184">
      <c r="A184" t="inlineStr">
        <is>
          <t>L_V6_ROI</t>
        </is>
      </c>
      <c r="B184" t="n">
        <v>-3.25</v>
      </c>
      <c r="C184" t="n">
        <v>821</v>
      </c>
      <c r="D184">
        <f> 0.001</f>
        <v/>
      </c>
      <c r="E184" t="n">
        <v>-0.23</v>
      </c>
      <c r="F184" t="inlineStr">
        <is>
          <t>[-0.36, -0.09]</t>
        </is>
      </c>
      <c r="G184">
        <f> 0.002</f>
        <v/>
      </c>
      <c r="H184" t="inlineStr">
        <is>
          <t>✓</t>
        </is>
      </c>
    </row>
    <row r="185">
      <c r="A185" t="inlineStr">
        <is>
          <t>L_V2_ROI</t>
        </is>
      </c>
      <c r="B185" t="n">
        <v>-4.51</v>
      </c>
      <c r="C185" t="n">
        <v>821</v>
      </c>
      <c r="D185" t="inlineStr">
        <is>
          <t>&lt; .001</t>
        </is>
      </c>
      <c r="E185" t="n">
        <v>-0.31</v>
      </c>
      <c r="F185" t="inlineStr">
        <is>
          <t>[-0.45, -0.18]</t>
        </is>
      </c>
      <c r="G185" t="inlineStr">
        <is>
          <t>&lt; .001</t>
        </is>
      </c>
      <c r="H185" t="inlineStr">
        <is>
          <t>✓</t>
        </is>
      </c>
    </row>
    <row r="186">
      <c r="A186" t="inlineStr">
        <is>
          <t>L_V3_ROI</t>
        </is>
      </c>
      <c r="B186" t="n">
        <v>-3.6</v>
      </c>
      <c r="C186" t="n">
        <v>821</v>
      </c>
      <c r="D186" t="inlineStr">
        <is>
          <t>&lt; .001</t>
        </is>
      </c>
      <c r="E186" t="n">
        <v>-0.25</v>
      </c>
      <c r="F186" t="inlineStr">
        <is>
          <t>[-0.39, -0.11]</t>
        </is>
      </c>
      <c r="G186" t="inlineStr">
        <is>
          <t>&lt; .001</t>
        </is>
      </c>
      <c r="H186" t="inlineStr">
        <is>
          <t>✓</t>
        </is>
      </c>
    </row>
    <row r="187">
      <c r="A187" t="inlineStr">
        <is>
          <t>L_V4_ROI</t>
        </is>
      </c>
      <c r="B187" t="n">
        <v>-4.15</v>
      </c>
      <c r="C187" t="n">
        <v>821</v>
      </c>
      <c r="D187" t="inlineStr">
        <is>
          <t>&lt; .001</t>
        </is>
      </c>
      <c r="E187" t="n">
        <v>-0.29</v>
      </c>
      <c r="F187" t="inlineStr">
        <is>
          <t>[-0.43, -0.15]</t>
        </is>
      </c>
      <c r="G187" t="inlineStr">
        <is>
          <t>&lt; .001</t>
        </is>
      </c>
      <c r="H187" t="inlineStr">
        <is>
          <t>✓</t>
        </is>
      </c>
    </row>
    <row r="188">
      <c r="A188" t="inlineStr">
        <is>
          <t>L_V8_ROI</t>
        </is>
      </c>
      <c r="B188" t="n">
        <v>-1.16</v>
      </c>
      <c r="C188" t="n">
        <v>821</v>
      </c>
      <c r="D188">
        <f> 0.247</f>
        <v/>
      </c>
      <c r="E188" t="n">
        <v>-0.08</v>
      </c>
      <c r="F188" t="inlineStr">
        <is>
          <t>[-0.22, 0.06]</t>
        </is>
      </c>
      <c r="G188">
        <f> 0.256</f>
        <v/>
      </c>
      <c r="H188" t="inlineStr"/>
    </row>
    <row r="189">
      <c r="A189" t="inlineStr">
        <is>
          <t>L_4_ROI</t>
        </is>
      </c>
      <c r="B189" t="n">
        <v>-5.03</v>
      </c>
      <c r="C189" t="n">
        <v>821</v>
      </c>
      <c r="D189" t="inlineStr">
        <is>
          <t>&lt; .001</t>
        </is>
      </c>
      <c r="E189" t="n">
        <v>-0.35</v>
      </c>
      <c r="F189" t="inlineStr">
        <is>
          <t>[-0.49, -0.21]</t>
        </is>
      </c>
      <c r="G189" t="inlineStr">
        <is>
          <t>&lt; .001</t>
        </is>
      </c>
      <c r="H189" t="inlineStr">
        <is>
          <t>✓</t>
        </is>
      </c>
    </row>
    <row r="190">
      <c r="A190" t="inlineStr">
        <is>
          <t>L_3b_ROI</t>
        </is>
      </c>
      <c r="B190" t="n">
        <v>-3.18</v>
      </c>
      <c r="C190" t="n">
        <v>821</v>
      </c>
      <c r="D190">
        <f> 0.002</f>
        <v/>
      </c>
      <c r="E190" t="n">
        <v>-0.22</v>
      </c>
      <c r="F190" t="inlineStr">
        <is>
          <t>[-0.36, -0.08]</t>
        </is>
      </c>
      <c r="G190">
        <f> 0.002</f>
        <v/>
      </c>
      <c r="H190" t="inlineStr">
        <is>
          <t>✓</t>
        </is>
      </c>
    </row>
    <row r="191">
      <c r="A191" t="inlineStr">
        <is>
          <t>L_FEF_ROI</t>
        </is>
      </c>
      <c r="B191" t="n">
        <v>-4.32</v>
      </c>
      <c r="C191" t="n">
        <v>821</v>
      </c>
      <c r="D191" t="inlineStr">
        <is>
          <t>&lt; .001</t>
        </is>
      </c>
      <c r="E191" t="n">
        <v>-0.3</v>
      </c>
      <c r="F191" t="inlineStr">
        <is>
          <t>[-0.44, -0.16]</t>
        </is>
      </c>
      <c r="G191" t="inlineStr">
        <is>
          <t>&lt; .001</t>
        </is>
      </c>
      <c r="H191" t="inlineStr">
        <is>
          <t>✓</t>
        </is>
      </c>
    </row>
    <row r="192">
      <c r="A192" t="inlineStr">
        <is>
          <t>L_PEF_ROI</t>
        </is>
      </c>
      <c r="B192" t="n">
        <v>-4.09</v>
      </c>
      <c r="C192" t="n">
        <v>821</v>
      </c>
      <c r="D192" t="inlineStr">
        <is>
          <t>&lt; .001</t>
        </is>
      </c>
      <c r="E192" t="n">
        <v>-0.29</v>
      </c>
      <c r="F192" t="inlineStr">
        <is>
          <t>[-0.42, -0.15]</t>
        </is>
      </c>
      <c r="G192" t="inlineStr">
        <is>
          <t>&lt; .001</t>
        </is>
      </c>
      <c r="H192" t="inlineStr">
        <is>
          <t>✓</t>
        </is>
      </c>
    </row>
    <row r="193">
      <c r="A193" t="inlineStr">
        <is>
          <t>L_55b_ROI</t>
        </is>
      </c>
      <c r="B193" t="n">
        <v>-4.96</v>
      </c>
      <c r="C193" t="n">
        <v>821</v>
      </c>
      <c r="D193" t="inlineStr">
        <is>
          <t>&lt; .001</t>
        </is>
      </c>
      <c r="E193" t="n">
        <v>-0.35</v>
      </c>
      <c r="F193" t="inlineStr">
        <is>
          <t>[-0.48, -0.21]</t>
        </is>
      </c>
      <c r="G193" t="inlineStr">
        <is>
          <t>&lt; .001</t>
        </is>
      </c>
      <c r="H193" t="inlineStr">
        <is>
          <t>✓</t>
        </is>
      </c>
    </row>
    <row r="194">
      <c r="A194" t="inlineStr">
        <is>
          <t>L_V3A_ROI</t>
        </is>
      </c>
      <c r="B194" t="n">
        <v>-2.65</v>
      </c>
      <c r="C194" t="n">
        <v>821</v>
      </c>
      <c r="D194">
        <f> 0.008</f>
        <v/>
      </c>
      <c r="E194" t="n">
        <v>-0.18</v>
      </c>
      <c r="F194" t="inlineStr">
        <is>
          <t>[-0.32, -0.05]</t>
        </is>
      </c>
      <c r="G194">
        <f> 0.010</f>
        <v/>
      </c>
      <c r="H194" t="inlineStr">
        <is>
          <t>✓</t>
        </is>
      </c>
    </row>
    <row r="195">
      <c r="A195" t="inlineStr">
        <is>
          <t>L_RSC_ROI</t>
        </is>
      </c>
      <c r="B195" t="n">
        <v>-2.89</v>
      </c>
      <c r="C195" t="n">
        <v>821</v>
      </c>
      <c r="D195">
        <f> 0.004</f>
        <v/>
      </c>
      <c r="E195" t="n">
        <v>-0.2</v>
      </c>
      <c r="F195" t="inlineStr">
        <is>
          <t>[-0.34, -0.06]</t>
        </is>
      </c>
      <c r="G195">
        <f> 0.005</f>
        <v/>
      </c>
      <c r="H195" t="inlineStr">
        <is>
          <t>✓</t>
        </is>
      </c>
    </row>
    <row r="196">
      <c r="A196" t="inlineStr">
        <is>
          <t>L_POS2_ROI</t>
        </is>
      </c>
      <c r="B196" t="n">
        <v>-3.28</v>
      </c>
      <c r="C196" t="n">
        <v>821</v>
      </c>
      <c r="D196">
        <f> 0.001</f>
        <v/>
      </c>
      <c r="E196" t="n">
        <v>-0.23</v>
      </c>
      <c r="F196" t="inlineStr">
        <is>
          <t>[-0.37, -0.09]</t>
        </is>
      </c>
      <c r="G196">
        <f> 0.002</f>
        <v/>
      </c>
      <c r="H196" t="inlineStr">
        <is>
          <t>✓</t>
        </is>
      </c>
    </row>
    <row r="197">
      <c r="A197" t="inlineStr">
        <is>
          <t>L_V7_ROI</t>
        </is>
      </c>
      <c r="B197" t="n">
        <v>-2.71</v>
      </c>
      <c r="C197" t="n">
        <v>821</v>
      </c>
      <c r="D197">
        <f> 0.007</f>
        <v/>
      </c>
      <c r="E197" t="n">
        <v>-0.19</v>
      </c>
      <c r="F197" t="inlineStr">
        <is>
          <t>[-0.33, -0.05]</t>
        </is>
      </c>
      <c r="G197">
        <f> 0.009</f>
        <v/>
      </c>
      <c r="H197" t="inlineStr">
        <is>
          <t>✓</t>
        </is>
      </c>
    </row>
    <row r="198">
      <c r="A198" t="inlineStr">
        <is>
          <t>L_IPS1_ROI</t>
        </is>
      </c>
      <c r="B198" t="n">
        <v>-3.49</v>
      </c>
      <c r="C198" t="n">
        <v>821</v>
      </c>
      <c r="D198" t="inlineStr">
        <is>
          <t>&lt; .001</t>
        </is>
      </c>
      <c r="E198" t="n">
        <v>-0.24</v>
      </c>
      <c r="F198" t="inlineStr">
        <is>
          <t>[-0.38, -0.11]</t>
        </is>
      </c>
      <c r="G198" t="inlineStr">
        <is>
          <t>&lt; .001</t>
        </is>
      </c>
      <c r="H198" t="inlineStr">
        <is>
          <t>✓</t>
        </is>
      </c>
    </row>
    <row r="199">
      <c r="A199" t="inlineStr">
        <is>
          <t>L_FFC_ROI</t>
        </is>
      </c>
      <c r="B199" t="n">
        <v>-2.15</v>
      </c>
      <c r="C199" t="n">
        <v>821</v>
      </c>
      <c r="D199">
        <f> 0.032</f>
        <v/>
      </c>
      <c r="E199" t="n">
        <v>-0.15</v>
      </c>
      <c r="F199" t="inlineStr">
        <is>
          <t>[-0.29, -0.01]</t>
        </is>
      </c>
      <c r="G199">
        <f> 0.036</f>
        <v/>
      </c>
      <c r="H199" t="inlineStr">
        <is>
          <t>✓</t>
        </is>
      </c>
    </row>
    <row r="200">
      <c r="A200" t="inlineStr">
        <is>
          <t>L_V3B_ROI</t>
        </is>
      </c>
      <c r="B200" t="n">
        <v>-3.86</v>
      </c>
      <c r="C200" t="n">
        <v>821</v>
      </c>
      <c r="D200" t="inlineStr">
        <is>
          <t>&lt; .001</t>
        </is>
      </c>
      <c r="E200" t="n">
        <v>-0.27</v>
      </c>
      <c r="F200" t="inlineStr">
        <is>
          <t>[-0.41, -0.13]</t>
        </is>
      </c>
      <c r="G200" t="inlineStr">
        <is>
          <t>&lt; .001</t>
        </is>
      </c>
      <c r="H200" t="inlineStr">
        <is>
          <t>✓</t>
        </is>
      </c>
    </row>
    <row r="201">
      <c r="A201" t="inlineStr">
        <is>
          <t>L_LO1_ROI</t>
        </is>
      </c>
      <c r="B201" t="n">
        <v>-2.18</v>
      </c>
      <c r="C201" t="n">
        <v>821</v>
      </c>
      <c r="D201">
        <f> 0.029</f>
        <v/>
      </c>
      <c r="E201" t="n">
        <v>-0.15</v>
      </c>
      <c r="F201" t="inlineStr">
        <is>
          <t>[-0.29, -0.02]</t>
        </is>
      </c>
      <c r="G201">
        <f> 0.033</f>
        <v/>
      </c>
      <c r="H201" t="inlineStr">
        <is>
          <t>✓</t>
        </is>
      </c>
    </row>
    <row r="202">
      <c r="A202" t="inlineStr">
        <is>
          <t>L_LO2_ROI</t>
        </is>
      </c>
      <c r="B202" t="n">
        <v>-2.16</v>
      </c>
      <c r="C202" t="n">
        <v>821</v>
      </c>
      <c r="D202">
        <f> 0.031</f>
        <v/>
      </c>
      <c r="E202" t="n">
        <v>-0.15</v>
      </c>
      <c r="F202" t="inlineStr">
        <is>
          <t>[-0.29, -0.01]</t>
        </is>
      </c>
      <c r="G202">
        <f> 0.035</f>
        <v/>
      </c>
      <c r="H202" t="inlineStr">
        <is>
          <t>✓</t>
        </is>
      </c>
    </row>
    <row r="203">
      <c r="A203" t="inlineStr">
        <is>
          <t>L_PIT_ROI</t>
        </is>
      </c>
      <c r="B203" t="n">
        <v>-3.46</v>
      </c>
      <c r="C203" t="n">
        <v>821</v>
      </c>
      <c r="D203" t="inlineStr">
        <is>
          <t>&lt; .001</t>
        </is>
      </c>
      <c r="E203" t="n">
        <v>-0.24</v>
      </c>
      <c r="F203" t="inlineStr">
        <is>
          <t>[-0.38, -0.10]</t>
        </is>
      </c>
      <c r="G203" t="inlineStr">
        <is>
          <t>&lt; .001</t>
        </is>
      </c>
      <c r="H203" t="inlineStr">
        <is>
          <t>✓</t>
        </is>
      </c>
    </row>
    <row r="204">
      <c r="A204" t="inlineStr">
        <is>
          <t>L_MT_ROI</t>
        </is>
      </c>
      <c r="B204" t="n">
        <v>-3.59</v>
      </c>
      <c r="C204" t="n">
        <v>821</v>
      </c>
      <c r="D204" t="inlineStr">
        <is>
          <t>&lt; .001</t>
        </is>
      </c>
      <c r="E204" t="n">
        <v>-0.25</v>
      </c>
      <c r="F204" t="inlineStr">
        <is>
          <t>[-0.39, -0.11]</t>
        </is>
      </c>
      <c r="G204" t="inlineStr">
        <is>
          <t>&lt; .001</t>
        </is>
      </c>
      <c r="H204" t="inlineStr">
        <is>
          <t>✓</t>
        </is>
      </c>
    </row>
    <row r="205">
      <c r="A205" t="inlineStr">
        <is>
          <t>L_A1_ROI</t>
        </is>
      </c>
      <c r="B205" t="n">
        <v>-4.49</v>
      </c>
      <c r="C205" t="n">
        <v>821</v>
      </c>
      <c r="D205" t="inlineStr">
        <is>
          <t>&lt; .001</t>
        </is>
      </c>
      <c r="E205" t="n">
        <v>-0.31</v>
      </c>
      <c r="F205" t="inlineStr">
        <is>
          <t>[-0.45, -0.18]</t>
        </is>
      </c>
      <c r="G205" t="inlineStr">
        <is>
          <t>&lt; .001</t>
        </is>
      </c>
      <c r="H205" t="inlineStr">
        <is>
          <t>✓</t>
        </is>
      </c>
    </row>
    <row r="206">
      <c r="A206" t="inlineStr">
        <is>
          <t>L_PSL_ROI</t>
        </is>
      </c>
      <c r="B206" t="n">
        <v>-5.44</v>
      </c>
      <c r="C206" t="n">
        <v>821</v>
      </c>
      <c r="D206" t="inlineStr">
        <is>
          <t>&lt; .001</t>
        </is>
      </c>
      <c r="E206" t="n">
        <v>-0.38</v>
      </c>
      <c r="F206" t="inlineStr">
        <is>
          <t>[-0.52, -0.24]</t>
        </is>
      </c>
      <c r="G206" t="inlineStr">
        <is>
          <t>&lt; .001</t>
        </is>
      </c>
      <c r="H206" t="inlineStr">
        <is>
          <t>✓</t>
        </is>
      </c>
    </row>
    <row r="207">
      <c r="A207" t="inlineStr">
        <is>
          <t>L_SFL_ROI</t>
        </is>
      </c>
      <c r="B207" t="n">
        <v>-3.59</v>
      </c>
      <c r="C207" t="n">
        <v>821</v>
      </c>
      <c r="D207" t="inlineStr">
        <is>
          <t>&lt; .001</t>
        </is>
      </c>
      <c r="E207" t="n">
        <v>-0.25</v>
      </c>
      <c r="F207" t="inlineStr">
        <is>
          <t>[-0.39, -0.11]</t>
        </is>
      </c>
      <c r="G207" t="inlineStr">
        <is>
          <t>&lt; .001</t>
        </is>
      </c>
      <c r="H207" t="inlineStr">
        <is>
          <t>✓</t>
        </is>
      </c>
    </row>
    <row r="208">
      <c r="A208" t="inlineStr">
        <is>
          <t>L_PCV_ROI</t>
        </is>
      </c>
      <c r="B208" t="n">
        <v>-4.05</v>
      </c>
      <c r="C208" t="n">
        <v>821</v>
      </c>
      <c r="D208" t="inlineStr">
        <is>
          <t>&lt; .001</t>
        </is>
      </c>
      <c r="E208" t="n">
        <v>-0.28</v>
      </c>
      <c r="F208" t="inlineStr">
        <is>
          <t>[-0.42, -0.15]</t>
        </is>
      </c>
      <c r="G208" t="inlineStr">
        <is>
          <t>&lt; .001</t>
        </is>
      </c>
      <c r="H208" t="inlineStr">
        <is>
          <t>✓</t>
        </is>
      </c>
    </row>
    <row r="209">
      <c r="A209" t="inlineStr">
        <is>
          <t>L_STV_ROI</t>
        </is>
      </c>
      <c r="B209" t="n">
        <v>-3.73</v>
      </c>
      <c r="C209" t="n">
        <v>821</v>
      </c>
      <c r="D209" t="inlineStr">
        <is>
          <t>&lt; .001</t>
        </is>
      </c>
      <c r="E209" t="n">
        <v>-0.26</v>
      </c>
      <c r="F209" t="inlineStr">
        <is>
          <t>[-0.40, -0.12]</t>
        </is>
      </c>
      <c r="G209" t="inlineStr">
        <is>
          <t>&lt; .001</t>
        </is>
      </c>
      <c r="H209" t="inlineStr">
        <is>
          <t>✓</t>
        </is>
      </c>
    </row>
    <row r="210">
      <c r="A210" t="inlineStr">
        <is>
          <t>L_7Pm_ROI</t>
        </is>
      </c>
      <c r="B210" t="n">
        <v>-1.86</v>
      </c>
      <c r="C210" t="n">
        <v>821</v>
      </c>
      <c r="D210">
        <f> 0.063</f>
        <v/>
      </c>
      <c r="E210" t="n">
        <v>-0.13</v>
      </c>
      <c r="F210" t="inlineStr">
        <is>
          <t>[-0.27, 0.01]</t>
        </is>
      </c>
      <c r="G210">
        <f> 0.068</f>
        <v/>
      </c>
      <c r="H210" t="inlineStr"/>
    </row>
    <row r="211">
      <c r="A211" t="inlineStr">
        <is>
          <t>L_7m_ROI</t>
        </is>
      </c>
      <c r="B211" t="n">
        <v>-2.74</v>
      </c>
      <c r="C211" t="n">
        <v>821</v>
      </c>
      <c r="D211">
        <f> 0.006</f>
        <v/>
      </c>
      <c r="E211" t="n">
        <v>-0.19</v>
      </c>
      <c r="F211" t="inlineStr">
        <is>
          <t>[-0.33, -0.05]</t>
        </is>
      </c>
      <c r="G211">
        <f> 0.008</f>
        <v/>
      </c>
      <c r="H211" t="inlineStr">
        <is>
          <t>✓</t>
        </is>
      </c>
    </row>
    <row r="212">
      <c r="A212" t="inlineStr">
        <is>
          <t>L_POS1_ROI</t>
        </is>
      </c>
      <c r="B212" t="n">
        <v>-4.09</v>
      </c>
      <c r="C212" t="n">
        <v>821</v>
      </c>
      <c r="D212" t="inlineStr">
        <is>
          <t>&lt; .001</t>
        </is>
      </c>
      <c r="E212" t="n">
        <v>-0.29</v>
      </c>
      <c r="F212" t="inlineStr">
        <is>
          <t>[-0.42, -0.15]</t>
        </is>
      </c>
      <c r="G212" t="inlineStr">
        <is>
          <t>&lt; .001</t>
        </is>
      </c>
      <c r="H212" t="inlineStr">
        <is>
          <t>✓</t>
        </is>
      </c>
    </row>
    <row r="213">
      <c r="A213" t="inlineStr">
        <is>
          <t>L_23d_ROI</t>
        </is>
      </c>
      <c r="B213" t="n">
        <v>-3.55</v>
      </c>
      <c r="C213" t="n">
        <v>821</v>
      </c>
      <c r="D213" t="inlineStr">
        <is>
          <t>&lt; .001</t>
        </is>
      </c>
      <c r="E213" t="n">
        <v>-0.25</v>
      </c>
      <c r="F213" t="inlineStr">
        <is>
          <t>[-0.38, -0.11]</t>
        </is>
      </c>
      <c r="G213" t="inlineStr">
        <is>
          <t>&lt; .001</t>
        </is>
      </c>
      <c r="H213" t="inlineStr">
        <is>
          <t>✓</t>
        </is>
      </c>
    </row>
    <row r="214">
      <c r="A214" t="inlineStr">
        <is>
          <t>L_v23ab_ROI</t>
        </is>
      </c>
      <c r="B214" t="n">
        <v>-3.67</v>
      </c>
      <c r="C214" t="n">
        <v>821</v>
      </c>
      <c r="D214" t="inlineStr">
        <is>
          <t>&lt; .001</t>
        </is>
      </c>
      <c r="E214" t="n">
        <v>-0.26</v>
      </c>
      <c r="F214" t="inlineStr">
        <is>
          <t>[-0.39, -0.12]</t>
        </is>
      </c>
      <c r="G214" t="inlineStr">
        <is>
          <t>&lt; .001</t>
        </is>
      </c>
      <c r="H214" t="inlineStr">
        <is>
          <t>✓</t>
        </is>
      </c>
    </row>
    <row r="215">
      <c r="A215" t="inlineStr">
        <is>
          <t>L_d23ab_ROI</t>
        </is>
      </c>
      <c r="B215" t="n">
        <v>-4.18</v>
      </c>
      <c r="C215" t="n">
        <v>821</v>
      </c>
      <c r="D215" t="inlineStr">
        <is>
          <t>&lt; .001</t>
        </is>
      </c>
      <c r="E215" t="n">
        <v>-0.29</v>
      </c>
      <c r="F215" t="inlineStr">
        <is>
          <t>[-0.43, -0.15]</t>
        </is>
      </c>
      <c r="G215" t="inlineStr">
        <is>
          <t>&lt; .001</t>
        </is>
      </c>
      <c r="H215" t="inlineStr">
        <is>
          <t>✓</t>
        </is>
      </c>
    </row>
    <row r="216">
      <c r="A216" t="inlineStr">
        <is>
          <t>L_31pv_ROI</t>
        </is>
      </c>
      <c r="B216" t="n">
        <v>-2.36</v>
      </c>
      <c r="C216" t="n">
        <v>821</v>
      </c>
      <c r="D216">
        <f> 0.018</f>
        <v/>
      </c>
      <c r="E216" t="n">
        <v>-0.16</v>
      </c>
      <c r="F216" t="inlineStr">
        <is>
          <t>[-0.30, -0.03]</t>
        </is>
      </c>
      <c r="G216">
        <f> 0.022</f>
        <v/>
      </c>
      <c r="H216" t="inlineStr">
        <is>
          <t>✓</t>
        </is>
      </c>
    </row>
    <row r="217">
      <c r="A217" t="inlineStr">
        <is>
          <t>L_5m_ROI</t>
        </is>
      </c>
      <c r="B217" t="n">
        <v>-2.37</v>
      </c>
      <c r="C217" t="n">
        <v>821</v>
      </c>
      <c r="D217">
        <f> 0.018</f>
        <v/>
      </c>
      <c r="E217" t="n">
        <v>-0.17</v>
      </c>
      <c r="F217" t="inlineStr">
        <is>
          <t>[-0.30, -0.03]</t>
        </is>
      </c>
      <c r="G217">
        <f> 0.021</f>
        <v/>
      </c>
      <c r="H217" t="inlineStr">
        <is>
          <t>✓</t>
        </is>
      </c>
    </row>
    <row r="218">
      <c r="A218" t="inlineStr">
        <is>
          <t>L_5mv_ROI</t>
        </is>
      </c>
      <c r="B218" t="n">
        <v>-2.19</v>
      </c>
      <c r="C218" t="n">
        <v>821</v>
      </c>
      <c r="D218">
        <f> 0.029</f>
        <v/>
      </c>
      <c r="E218" t="n">
        <v>-0.15</v>
      </c>
      <c r="F218" t="inlineStr">
        <is>
          <t>[-0.29, -0.02]</t>
        </is>
      </c>
      <c r="G218">
        <f> 0.033</f>
        <v/>
      </c>
      <c r="H218" t="inlineStr">
        <is>
          <t>✓</t>
        </is>
      </c>
    </row>
    <row r="219">
      <c r="A219" t="inlineStr">
        <is>
          <t>L_23c_ROI</t>
        </is>
      </c>
      <c r="B219" t="n">
        <v>-4.12</v>
      </c>
      <c r="C219" t="n">
        <v>821</v>
      </c>
      <c r="D219" t="inlineStr">
        <is>
          <t>&lt; .001</t>
        </is>
      </c>
      <c r="E219" t="n">
        <v>-0.29</v>
      </c>
      <c r="F219" t="inlineStr">
        <is>
          <t>[-0.42, -0.15]</t>
        </is>
      </c>
      <c r="G219" t="inlineStr">
        <is>
          <t>&lt; .001</t>
        </is>
      </c>
      <c r="H219" t="inlineStr">
        <is>
          <t>✓</t>
        </is>
      </c>
    </row>
    <row r="220">
      <c r="A220" t="inlineStr">
        <is>
          <t>L_5L_ROI</t>
        </is>
      </c>
      <c r="B220" t="n">
        <v>-2.12</v>
      </c>
      <c r="C220" t="n">
        <v>821</v>
      </c>
      <c r="D220">
        <f> 0.034</f>
        <v/>
      </c>
      <c r="E220" t="n">
        <v>-0.15</v>
      </c>
      <c r="F220" t="inlineStr">
        <is>
          <t>[-0.28, -0.01]</t>
        </is>
      </c>
      <c r="G220">
        <f> 0.038</f>
        <v/>
      </c>
      <c r="H220" t="inlineStr">
        <is>
          <t>✓</t>
        </is>
      </c>
    </row>
    <row r="221">
      <c r="A221" t="inlineStr">
        <is>
          <t>L_24dd_ROI</t>
        </is>
      </c>
      <c r="B221" t="n">
        <v>-3.47</v>
      </c>
      <c r="C221" t="n">
        <v>821</v>
      </c>
      <c r="D221" t="inlineStr">
        <is>
          <t>&lt; .001</t>
        </is>
      </c>
      <c r="E221" t="n">
        <v>-0.24</v>
      </c>
      <c r="F221" t="inlineStr">
        <is>
          <t>[-0.38, -0.10]</t>
        </is>
      </c>
      <c r="G221" t="inlineStr">
        <is>
          <t>&lt; .001</t>
        </is>
      </c>
      <c r="H221" t="inlineStr">
        <is>
          <t>✓</t>
        </is>
      </c>
    </row>
    <row r="222">
      <c r="A222" t="inlineStr">
        <is>
          <t>L_24dv_ROI</t>
        </is>
      </c>
      <c r="B222" t="n">
        <v>-3.84</v>
      </c>
      <c r="C222" t="n">
        <v>821</v>
      </c>
      <c r="D222" t="inlineStr">
        <is>
          <t>&lt; .001</t>
        </is>
      </c>
      <c r="E222" t="n">
        <v>-0.27</v>
      </c>
      <c r="F222" t="inlineStr">
        <is>
          <t>[-0.41, -0.13]</t>
        </is>
      </c>
      <c r="G222" t="inlineStr">
        <is>
          <t>&lt; .001</t>
        </is>
      </c>
      <c r="H222" t="inlineStr">
        <is>
          <t>✓</t>
        </is>
      </c>
    </row>
    <row r="223">
      <c r="A223" t="inlineStr">
        <is>
          <t>L_7AL_ROI</t>
        </is>
      </c>
      <c r="B223" t="n">
        <v>-2.18</v>
      </c>
      <c r="C223" t="n">
        <v>821</v>
      </c>
      <c r="D223">
        <f> 0.030</f>
        <v/>
      </c>
      <c r="E223" t="n">
        <v>-0.15</v>
      </c>
      <c r="F223" t="inlineStr">
        <is>
          <t>[-0.29, -0.01]</t>
        </is>
      </c>
      <c r="G223">
        <f> 0.034</f>
        <v/>
      </c>
      <c r="H223" t="inlineStr">
        <is>
          <t>✓</t>
        </is>
      </c>
    </row>
    <row r="224">
      <c r="A224" t="inlineStr">
        <is>
          <t>L_SCEF_ROI</t>
        </is>
      </c>
      <c r="B224" t="n">
        <v>-4.2</v>
      </c>
      <c r="C224" t="n">
        <v>821</v>
      </c>
      <c r="D224" t="inlineStr">
        <is>
          <t>&lt; .001</t>
        </is>
      </c>
      <c r="E224" t="n">
        <v>-0.29</v>
      </c>
      <c r="F224" t="inlineStr">
        <is>
          <t>[-0.43, -0.16]</t>
        </is>
      </c>
      <c r="G224" t="inlineStr">
        <is>
          <t>&lt; .001</t>
        </is>
      </c>
      <c r="H224" t="inlineStr">
        <is>
          <t>✓</t>
        </is>
      </c>
    </row>
    <row r="225">
      <c r="A225" t="inlineStr">
        <is>
          <t>L_6ma_ROI</t>
        </is>
      </c>
      <c r="B225" t="n">
        <v>-3.98</v>
      </c>
      <c r="C225" t="n">
        <v>821</v>
      </c>
      <c r="D225" t="inlineStr">
        <is>
          <t>&lt; .001</t>
        </is>
      </c>
      <c r="E225" t="n">
        <v>-0.28</v>
      </c>
      <c r="F225" t="inlineStr">
        <is>
          <t>[-0.41, -0.14]</t>
        </is>
      </c>
      <c r="G225" t="inlineStr">
        <is>
          <t>&lt; .001</t>
        </is>
      </c>
      <c r="H225" t="inlineStr">
        <is>
          <t>✓</t>
        </is>
      </c>
    </row>
    <row r="226">
      <c r="A226" t="inlineStr">
        <is>
          <t>L_7Am_ROI</t>
        </is>
      </c>
      <c r="B226" t="n">
        <v>-2.3</v>
      </c>
      <c r="C226" t="n">
        <v>821</v>
      </c>
      <c r="D226">
        <f> 0.022</f>
        <v/>
      </c>
      <c r="E226" t="n">
        <v>-0.16</v>
      </c>
      <c r="F226" t="inlineStr">
        <is>
          <t>[-0.30, -0.02]</t>
        </is>
      </c>
      <c r="G226">
        <f> 0.025</f>
        <v/>
      </c>
      <c r="H226" t="inlineStr">
        <is>
          <t>✓</t>
        </is>
      </c>
    </row>
    <row r="227">
      <c r="A227" t="inlineStr">
        <is>
          <t>L_7PL_ROI</t>
        </is>
      </c>
      <c r="B227" t="n">
        <v>-1.31</v>
      </c>
      <c r="C227" t="n">
        <v>821</v>
      </c>
      <c r="D227">
        <f> 0.191</f>
        <v/>
      </c>
      <c r="E227" t="n">
        <v>-0.09</v>
      </c>
      <c r="F227" t="inlineStr">
        <is>
          <t>[-0.23, 0.05]</t>
        </is>
      </c>
      <c r="G227">
        <f> 0.201</f>
        <v/>
      </c>
      <c r="H227" t="inlineStr"/>
    </row>
    <row r="228">
      <c r="A228" t="inlineStr">
        <is>
          <t>L_7PC_ROI</t>
        </is>
      </c>
      <c r="B228" t="n">
        <v>-3.76</v>
      </c>
      <c r="C228" t="n">
        <v>821</v>
      </c>
      <c r="D228" t="inlineStr">
        <is>
          <t>&lt; .001</t>
        </is>
      </c>
      <c r="E228" t="n">
        <v>-0.26</v>
      </c>
      <c r="F228" t="inlineStr">
        <is>
          <t>[-0.40, -0.12]</t>
        </is>
      </c>
      <c r="G228" t="inlineStr">
        <is>
          <t>&lt; .001</t>
        </is>
      </c>
      <c r="H228" t="inlineStr">
        <is>
          <t>✓</t>
        </is>
      </c>
    </row>
    <row r="229">
      <c r="A229" t="inlineStr">
        <is>
          <t>L_LIPv_ROI</t>
        </is>
      </c>
      <c r="B229" t="n">
        <v>-3.44</v>
      </c>
      <c r="C229" t="n">
        <v>821</v>
      </c>
      <c r="D229" t="inlineStr">
        <is>
          <t>&lt; .001</t>
        </is>
      </c>
      <c r="E229" t="n">
        <v>-0.24</v>
      </c>
      <c r="F229" t="inlineStr">
        <is>
          <t>[-0.38, -0.10]</t>
        </is>
      </c>
      <c r="G229" t="inlineStr">
        <is>
          <t>&lt; .001</t>
        </is>
      </c>
      <c r="H229" t="inlineStr">
        <is>
          <t>✓</t>
        </is>
      </c>
    </row>
    <row r="230">
      <c r="A230" t="inlineStr">
        <is>
          <t>L_VIP_ROI</t>
        </is>
      </c>
      <c r="B230" t="n">
        <v>-4.46</v>
      </c>
      <c r="C230" t="n">
        <v>821</v>
      </c>
      <c r="D230" t="inlineStr">
        <is>
          <t>&lt; .001</t>
        </is>
      </c>
      <c r="E230" t="n">
        <v>-0.31</v>
      </c>
      <c r="F230" t="inlineStr">
        <is>
          <t>[-0.45, -0.17]</t>
        </is>
      </c>
      <c r="G230" t="inlineStr">
        <is>
          <t>&lt; .001</t>
        </is>
      </c>
      <c r="H230" t="inlineStr">
        <is>
          <t>✓</t>
        </is>
      </c>
    </row>
    <row r="231">
      <c r="A231" t="inlineStr">
        <is>
          <t>L_MIP_ROI</t>
        </is>
      </c>
      <c r="B231" t="n">
        <v>-2.9</v>
      </c>
      <c r="C231" t="n">
        <v>821</v>
      </c>
      <c r="D231">
        <f> 0.004</f>
        <v/>
      </c>
      <c r="E231" t="n">
        <v>-0.2</v>
      </c>
      <c r="F231" t="inlineStr">
        <is>
          <t>[-0.34, -0.06]</t>
        </is>
      </c>
      <c r="G231">
        <f> 0.005</f>
        <v/>
      </c>
      <c r="H231" t="inlineStr">
        <is>
          <t>✓</t>
        </is>
      </c>
    </row>
    <row r="232">
      <c r="A232" t="inlineStr">
        <is>
          <t>L_1_ROI</t>
        </is>
      </c>
      <c r="B232" t="n">
        <v>-4.6</v>
      </c>
      <c r="C232" t="n">
        <v>821</v>
      </c>
      <c r="D232" t="inlineStr">
        <is>
          <t>&lt; .001</t>
        </is>
      </c>
      <c r="E232" t="n">
        <v>-0.32</v>
      </c>
      <c r="F232" t="inlineStr">
        <is>
          <t>[-0.46, -0.18]</t>
        </is>
      </c>
      <c r="G232" t="inlineStr">
        <is>
          <t>&lt; .001</t>
        </is>
      </c>
      <c r="H232" t="inlineStr">
        <is>
          <t>✓</t>
        </is>
      </c>
    </row>
    <row r="233">
      <c r="A233" t="inlineStr">
        <is>
          <t>L_2_ROI</t>
        </is>
      </c>
      <c r="B233" t="n">
        <v>-4.7</v>
      </c>
      <c r="C233" t="n">
        <v>821</v>
      </c>
      <c r="D233" t="inlineStr">
        <is>
          <t>&lt; .001</t>
        </is>
      </c>
      <c r="E233" t="n">
        <v>-0.33</v>
      </c>
      <c r="F233" t="inlineStr">
        <is>
          <t>[-0.47, -0.19]</t>
        </is>
      </c>
      <c r="G233" t="inlineStr">
        <is>
          <t>&lt; .001</t>
        </is>
      </c>
      <c r="H233" t="inlineStr">
        <is>
          <t>✓</t>
        </is>
      </c>
    </row>
    <row r="234">
      <c r="A234" t="inlineStr">
        <is>
          <t>L_3a_ROI</t>
        </is>
      </c>
      <c r="B234" t="n">
        <v>-3.09</v>
      </c>
      <c r="C234" t="n">
        <v>821</v>
      </c>
      <c r="D234">
        <f> 0.002</f>
        <v/>
      </c>
      <c r="E234" t="n">
        <v>-0.22</v>
      </c>
      <c r="F234" t="inlineStr">
        <is>
          <t>[-0.35, -0.08]</t>
        </is>
      </c>
      <c r="G234">
        <f> 0.003</f>
        <v/>
      </c>
      <c r="H234" t="inlineStr">
        <is>
          <t>✓</t>
        </is>
      </c>
    </row>
    <row r="235">
      <c r="A235" t="inlineStr">
        <is>
          <t>L_6d_ROI</t>
        </is>
      </c>
      <c r="B235" t="n">
        <v>-4.01</v>
      </c>
      <c r="C235" t="n">
        <v>821</v>
      </c>
      <c r="D235" t="inlineStr">
        <is>
          <t>&lt; .001</t>
        </is>
      </c>
      <c r="E235" t="n">
        <v>-0.28</v>
      </c>
      <c r="F235" t="inlineStr">
        <is>
          <t>[-0.42, -0.14]</t>
        </is>
      </c>
      <c r="G235" t="inlineStr">
        <is>
          <t>&lt; .001</t>
        </is>
      </c>
      <c r="H235" t="inlineStr">
        <is>
          <t>✓</t>
        </is>
      </c>
    </row>
    <row r="236">
      <c r="A236" t="inlineStr">
        <is>
          <t>L_6mp_ROI</t>
        </is>
      </c>
      <c r="B236" t="n">
        <v>-3.95</v>
      </c>
      <c r="C236" t="n">
        <v>821</v>
      </c>
      <c r="D236" t="inlineStr">
        <is>
          <t>&lt; .001</t>
        </is>
      </c>
      <c r="E236" t="n">
        <v>-0.28</v>
      </c>
      <c r="F236" t="inlineStr">
        <is>
          <t>[-0.41, -0.14]</t>
        </is>
      </c>
      <c r="G236" t="inlineStr">
        <is>
          <t>&lt; .001</t>
        </is>
      </c>
      <c r="H236" t="inlineStr">
        <is>
          <t>✓</t>
        </is>
      </c>
    </row>
    <row r="237">
      <c r="A237" t="inlineStr">
        <is>
          <t>L_6v_ROI</t>
        </is>
      </c>
      <c r="B237" t="n">
        <v>-4.55</v>
      </c>
      <c r="C237" t="n">
        <v>821</v>
      </c>
      <c r="D237" t="inlineStr">
        <is>
          <t>&lt; .001</t>
        </is>
      </c>
      <c r="E237" t="n">
        <v>-0.32</v>
      </c>
      <c r="F237" t="inlineStr">
        <is>
          <t>[-0.45, -0.18]</t>
        </is>
      </c>
      <c r="G237" t="inlineStr">
        <is>
          <t>&lt; .001</t>
        </is>
      </c>
      <c r="H237" t="inlineStr">
        <is>
          <t>✓</t>
        </is>
      </c>
    </row>
    <row r="238">
      <c r="A238" t="inlineStr">
        <is>
          <t>L_p24pr_ROI</t>
        </is>
      </c>
      <c r="B238" t="n">
        <v>-2.28</v>
      </c>
      <c r="C238" t="n">
        <v>821</v>
      </c>
      <c r="D238">
        <f> 0.023</f>
        <v/>
      </c>
      <c r="E238" t="n">
        <v>-0.16</v>
      </c>
      <c r="F238" t="inlineStr">
        <is>
          <t>[-0.30, -0.02]</t>
        </is>
      </c>
      <c r="G238">
        <f> 0.026</f>
        <v/>
      </c>
      <c r="H238" t="inlineStr">
        <is>
          <t>✓</t>
        </is>
      </c>
    </row>
    <row r="239">
      <c r="A239" t="inlineStr">
        <is>
          <t>L_33pr_ROI</t>
        </is>
      </c>
      <c r="B239" t="n">
        <v>-0.72</v>
      </c>
      <c r="C239" t="n">
        <v>821</v>
      </c>
      <c r="D239">
        <f> 0.471</f>
        <v/>
      </c>
      <c r="E239" t="n">
        <v>-0.05</v>
      </c>
      <c r="F239" t="inlineStr">
        <is>
          <t>[-0.19, 0.09]</t>
        </is>
      </c>
      <c r="G239">
        <f> 0.475</f>
        <v/>
      </c>
      <c r="H239" t="inlineStr"/>
    </row>
    <row r="240">
      <c r="A240" t="inlineStr">
        <is>
          <t>L_a24pr_ROI</t>
        </is>
      </c>
      <c r="B240" t="n">
        <v>-3.09</v>
      </c>
      <c r="C240" t="n">
        <v>821</v>
      </c>
      <c r="D240">
        <f> 0.002</f>
        <v/>
      </c>
      <c r="E240" t="n">
        <v>-0.22</v>
      </c>
      <c r="F240" t="inlineStr">
        <is>
          <t>[-0.35, -0.08]</t>
        </is>
      </c>
      <c r="G240">
        <f> 0.003</f>
        <v/>
      </c>
      <c r="H240" t="inlineStr">
        <is>
          <t>✓</t>
        </is>
      </c>
    </row>
    <row r="241">
      <c r="A241" t="inlineStr">
        <is>
          <t>L_p32pr_ROI</t>
        </is>
      </c>
      <c r="B241" t="n">
        <v>-4.81</v>
      </c>
      <c r="C241" t="n">
        <v>821</v>
      </c>
      <c r="D241" t="inlineStr">
        <is>
          <t>&lt; .001</t>
        </is>
      </c>
      <c r="E241" t="n">
        <v>-0.34</v>
      </c>
      <c r="F241" t="inlineStr">
        <is>
          <t>[-0.47, -0.20]</t>
        </is>
      </c>
      <c r="G241" t="inlineStr">
        <is>
          <t>&lt; .001</t>
        </is>
      </c>
      <c r="H241" t="inlineStr">
        <is>
          <t>✓</t>
        </is>
      </c>
    </row>
    <row r="242">
      <c r="A242" t="inlineStr">
        <is>
          <t>L_a24_ROI</t>
        </is>
      </c>
      <c r="B242" t="n">
        <v>-1.73</v>
      </c>
      <c r="C242" t="n">
        <v>821</v>
      </c>
      <c r="D242">
        <f> 0.085</f>
        <v/>
      </c>
      <c r="E242" t="n">
        <v>-0.12</v>
      </c>
      <c r="F242" t="inlineStr">
        <is>
          <t>[-0.26, 0.02]</t>
        </is>
      </c>
      <c r="G242">
        <f> 0.091</f>
        <v/>
      </c>
      <c r="H242" t="inlineStr"/>
    </row>
    <row r="243">
      <c r="A243" t="inlineStr">
        <is>
          <t>L_d32_ROI</t>
        </is>
      </c>
      <c r="B243" t="n">
        <v>-4.29</v>
      </c>
      <c r="C243" t="n">
        <v>821</v>
      </c>
      <c r="D243" t="inlineStr">
        <is>
          <t>&lt; .001</t>
        </is>
      </c>
      <c r="E243" t="n">
        <v>-0.3</v>
      </c>
      <c r="F243" t="inlineStr">
        <is>
          <t>[-0.44, -0.16]</t>
        </is>
      </c>
      <c r="G243" t="inlineStr">
        <is>
          <t>&lt; .001</t>
        </is>
      </c>
      <c r="H243" t="inlineStr">
        <is>
          <t>✓</t>
        </is>
      </c>
    </row>
    <row r="244">
      <c r="A244" t="inlineStr">
        <is>
          <t>L_8BM_ROI</t>
        </is>
      </c>
      <c r="B244" t="n">
        <v>-4.55</v>
      </c>
      <c r="C244" t="n">
        <v>821</v>
      </c>
      <c r="D244" t="inlineStr">
        <is>
          <t>&lt; .001</t>
        </is>
      </c>
      <c r="E244" t="n">
        <v>-0.32</v>
      </c>
      <c r="F244" t="inlineStr">
        <is>
          <t>[-0.45, -0.18]</t>
        </is>
      </c>
      <c r="G244" t="inlineStr">
        <is>
          <t>&lt; .001</t>
        </is>
      </c>
      <c r="H244" t="inlineStr">
        <is>
          <t>✓</t>
        </is>
      </c>
    </row>
    <row r="245">
      <c r="A245" t="inlineStr">
        <is>
          <t>L_p32_ROI</t>
        </is>
      </c>
      <c r="B245" t="n">
        <v>-1.63</v>
      </c>
      <c r="C245" t="n">
        <v>821</v>
      </c>
      <c r="D245">
        <f> 0.104</f>
        <v/>
      </c>
      <c r="E245" t="n">
        <v>-0.11</v>
      </c>
      <c r="F245" t="inlineStr">
        <is>
          <t>[-0.25, 0.02]</t>
        </is>
      </c>
      <c r="G245">
        <f> 0.111</f>
        <v/>
      </c>
      <c r="H245" t="inlineStr"/>
    </row>
    <row r="246">
      <c r="A246" t="inlineStr">
        <is>
          <t>L_10r_ROI</t>
        </is>
      </c>
      <c r="B246" t="n">
        <v>-0.88</v>
      </c>
      <c r="C246" t="n">
        <v>821</v>
      </c>
      <c r="D246">
        <f> 0.377</f>
        <v/>
      </c>
      <c r="E246" t="n">
        <v>-0.06</v>
      </c>
      <c r="F246" t="inlineStr">
        <is>
          <t>[-0.20, 0.08]</t>
        </is>
      </c>
      <c r="G246">
        <f> 0.383</f>
        <v/>
      </c>
      <c r="H246" t="inlineStr"/>
    </row>
    <row r="247">
      <c r="A247" t="inlineStr">
        <is>
          <t>L_47m_ROI</t>
        </is>
      </c>
      <c r="B247" t="n">
        <v>-2</v>
      </c>
      <c r="C247" t="n">
        <v>821</v>
      </c>
      <c r="D247">
        <f> 0.046</f>
        <v/>
      </c>
      <c r="E247" t="n">
        <v>-0.14</v>
      </c>
      <c r="F247" t="inlineStr">
        <is>
          <t>[-0.28, -0.00]</t>
        </is>
      </c>
      <c r="G247">
        <f> 0.050</f>
        <v/>
      </c>
      <c r="H247" t="inlineStr"/>
    </row>
    <row r="248">
      <c r="A248" t="inlineStr">
        <is>
          <t>L_8Av_ROI</t>
        </is>
      </c>
      <c r="B248" t="n">
        <v>-4.3</v>
      </c>
      <c r="C248" t="n">
        <v>821</v>
      </c>
      <c r="D248" t="inlineStr">
        <is>
          <t>&lt; .001</t>
        </is>
      </c>
      <c r="E248" t="n">
        <v>-0.3</v>
      </c>
      <c r="F248" t="inlineStr">
        <is>
          <t>[-0.44, -0.16]</t>
        </is>
      </c>
      <c r="G248" t="inlineStr">
        <is>
          <t>&lt; .001</t>
        </is>
      </c>
      <c r="H248" t="inlineStr">
        <is>
          <t>✓</t>
        </is>
      </c>
    </row>
    <row r="249">
      <c r="A249" t="inlineStr">
        <is>
          <t>L_8Ad_ROI</t>
        </is>
      </c>
      <c r="B249" t="n">
        <v>-3.14</v>
      </c>
      <c r="C249" t="n">
        <v>821</v>
      </c>
      <c r="D249">
        <f> 0.002</f>
        <v/>
      </c>
      <c r="E249" t="n">
        <v>-0.22</v>
      </c>
      <c r="F249" t="inlineStr">
        <is>
          <t>[-0.36, -0.08]</t>
        </is>
      </c>
      <c r="G249">
        <f> 0.003</f>
        <v/>
      </c>
      <c r="H249" t="inlineStr">
        <is>
          <t>✓</t>
        </is>
      </c>
    </row>
    <row r="250">
      <c r="A250" t="inlineStr">
        <is>
          <t>L_9m_ROI</t>
        </is>
      </c>
      <c r="B250" t="n">
        <v>-3.47</v>
      </c>
      <c r="C250" t="n">
        <v>821</v>
      </c>
      <c r="D250" t="inlineStr">
        <is>
          <t>&lt; .001</t>
        </is>
      </c>
      <c r="E250" t="n">
        <v>-0.24</v>
      </c>
      <c r="F250" t="inlineStr">
        <is>
          <t>[-0.38, -0.10]</t>
        </is>
      </c>
      <c r="G250" t="inlineStr">
        <is>
          <t>&lt; .001</t>
        </is>
      </c>
      <c r="H250" t="inlineStr">
        <is>
          <t>✓</t>
        </is>
      </c>
    </row>
    <row r="251">
      <c r="A251" t="inlineStr">
        <is>
          <t>L_8BL_ROI</t>
        </is>
      </c>
      <c r="B251" t="n">
        <v>-4.14</v>
      </c>
      <c r="C251" t="n">
        <v>821</v>
      </c>
      <c r="D251" t="inlineStr">
        <is>
          <t>&lt; .001</t>
        </is>
      </c>
      <c r="E251" t="n">
        <v>-0.29</v>
      </c>
      <c r="F251" t="inlineStr">
        <is>
          <t>[-0.43, -0.15]</t>
        </is>
      </c>
      <c r="G251" t="inlineStr">
        <is>
          <t>&lt; .001</t>
        </is>
      </c>
      <c r="H251" t="inlineStr">
        <is>
          <t>✓</t>
        </is>
      </c>
    </row>
    <row r="252">
      <c r="A252" t="inlineStr">
        <is>
          <t>L_9p_ROI</t>
        </is>
      </c>
      <c r="B252" t="n">
        <v>-3.86</v>
      </c>
      <c r="C252" t="n">
        <v>821</v>
      </c>
      <c r="D252" t="inlineStr">
        <is>
          <t>&lt; .001</t>
        </is>
      </c>
      <c r="E252" t="n">
        <v>-0.27</v>
      </c>
      <c r="F252" t="inlineStr">
        <is>
          <t>[-0.41, -0.13]</t>
        </is>
      </c>
      <c r="G252" t="inlineStr">
        <is>
          <t>&lt; .001</t>
        </is>
      </c>
      <c r="H252" t="inlineStr">
        <is>
          <t>✓</t>
        </is>
      </c>
    </row>
    <row r="253">
      <c r="A253" t="inlineStr">
        <is>
          <t>L_10d_ROI</t>
        </is>
      </c>
      <c r="B253" t="n">
        <v>-2.45</v>
      </c>
      <c r="C253" t="n">
        <v>821</v>
      </c>
      <c r="D253">
        <f> 0.014</f>
        <v/>
      </c>
      <c r="E253" t="n">
        <v>-0.17</v>
      </c>
      <c r="F253" t="inlineStr">
        <is>
          <t>[-0.31, -0.03]</t>
        </is>
      </c>
      <c r="G253">
        <f> 0.017</f>
        <v/>
      </c>
      <c r="H253" t="inlineStr">
        <is>
          <t>✓</t>
        </is>
      </c>
    </row>
    <row r="254">
      <c r="A254" t="inlineStr">
        <is>
          <t>L_8C_ROI</t>
        </is>
      </c>
      <c r="B254" t="n">
        <v>-4.08</v>
      </c>
      <c r="C254" t="n">
        <v>821</v>
      </c>
      <c r="D254" t="inlineStr">
        <is>
          <t>&lt; .001</t>
        </is>
      </c>
      <c r="E254" t="n">
        <v>-0.28</v>
      </c>
      <c r="F254" t="inlineStr">
        <is>
          <t>[-0.42, -0.15]</t>
        </is>
      </c>
      <c r="G254" t="inlineStr">
        <is>
          <t>&lt; .001</t>
        </is>
      </c>
      <c r="H254" t="inlineStr">
        <is>
          <t>✓</t>
        </is>
      </c>
    </row>
    <row r="255">
      <c r="A255" t="inlineStr">
        <is>
          <t>L_44_ROI</t>
        </is>
      </c>
      <c r="B255" t="n">
        <v>-3.86</v>
      </c>
      <c r="C255" t="n">
        <v>821</v>
      </c>
      <c r="D255" t="inlineStr">
        <is>
          <t>&lt; .001</t>
        </is>
      </c>
      <c r="E255" t="n">
        <v>-0.27</v>
      </c>
      <c r="F255" t="inlineStr">
        <is>
          <t>[-0.41, -0.13]</t>
        </is>
      </c>
      <c r="G255" t="inlineStr">
        <is>
          <t>&lt; .001</t>
        </is>
      </c>
      <c r="H255" t="inlineStr">
        <is>
          <t>✓</t>
        </is>
      </c>
    </row>
    <row r="256">
      <c r="A256" t="inlineStr">
        <is>
          <t>L_45_ROI</t>
        </is>
      </c>
      <c r="B256" t="n">
        <v>-3.84</v>
      </c>
      <c r="C256" t="n">
        <v>821</v>
      </c>
      <c r="D256" t="inlineStr">
        <is>
          <t>&lt; .001</t>
        </is>
      </c>
      <c r="E256" t="n">
        <v>-0.27</v>
      </c>
      <c r="F256" t="inlineStr">
        <is>
          <t>[-0.41, -0.13]</t>
        </is>
      </c>
      <c r="G256" t="inlineStr">
        <is>
          <t>&lt; .001</t>
        </is>
      </c>
      <c r="H256" t="inlineStr">
        <is>
          <t>✓</t>
        </is>
      </c>
    </row>
    <row r="257">
      <c r="A257" t="inlineStr">
        <is>
          <t>L_47l_ROI</t>
        </is>
      </c>
      <c r="B257" t="n">
        <v>-3.45</v>
      </c>
      <c r="C257" t="n">
        <v>821</v>
      </c>
      <c r="D257" t="inlineStr">
        <is>
          <t>&lt; .001</t>
        </is>
      </c>
      <c r="E257" t="n">
        <v>-0.24</v>
      </c>
      <c r="F257" t="inlineStr">
        <is>
          <t>[-0.38, -0.10]</t>
        </is>
      </c>
      <c r="G257" t="inlineStr">
        <is>
          <t>&lt; .001</t>
        </is>
      </c>
      <c r="H257" t="inlineStr">
        <is>
          <t>✓</t>
        </is>
      </c>
    </row>
    <row r="258">
      <c r="A258" t="inlineStr">
        <is>
          <t>L_a47r_ROI</t>
        </is>
      </c>
      <c r="B258" t="n">
        <v>-2.88</v>
      </c>
      <c r="C258" t="n">
        <v>821</v>
      </c>
      <c r="D258">
        <f> 0.004</f>
        <v/>
      </c>
      <c r="E258" t="n">
        <v>-0.2</v>
      </c>
      <c r="F258" t="inlineStr">
        <is>
          <t>[-0.34, -0.06]</t>
        </is>
      </c>
      <c r="G258">
        <f> 0.006</f>
        <v/>
      </c>
      <c r="H258" t="inlineStr">
        <is>
          <t>✓</t>
        </is>
      </c>
    </row>
    <row r="259">
      <c r="A259" t="inlineStr">
        <is>
          <t>L_6r_ROI</t>
        </is>
      </c>
      <c r="B259" t="n">
        <v>-4.04</v>
      </c>
      <c r="C259" t="n">
        <v>821</v>
      </c>
      <c r="D259" t="inlineStr">
        <is>
          <t>&lt; .001</t>
        </is>
      </c>
      <c r="E259" t="n">
        <v>-0.28</v>
      </c>
      <c r="F259" t="inlineStr">
        <is>
          <t>[-0.42, -0.14]</t>
        </is>
      </c>
      <c r="G259" t="inlineStr">
        <is>
          <t>&lt; .001</t>
        </is>
      </c>
      <c r="H259" t="inlineStr">
        <is>
          <t>✓</t>
        </is>
      </c>
    </row>
    <row r="260">
      <c r="A260" t="inlineStr">
        <is>
          <t>L_IFJa_ROI</t>
        </is>
      </c>
      <c r="B260" t="n">
        <v>-4.13</v>
      </c>
      <c r="C260" t="n">
        <v>821</v>
      </c>
      <c r="D260" t="inlineStr">
        <is>
          <t>&lt; .001</t>
        </is>
      </c>
      <c r="E260" t="n">
        <v>-0.29</v>
      </c>
      <c r="F260" t="inlineStr">
        <is>
          <t>[-0.43, -0.15]</t>
        </is>
      </c>
      <c r="G260" t="inlineStr">
        <is>
          <t>&lt; .001</t>
        </is>
      </c>
      <c r="H260" t="inlineStr">
        <is>
          <t>✓</t>
        </is>
      </c>
    </row>
    <row r="261">
      <c r="A261" t="inlineStr">
        <is>
          <t>L_IFJp_ROI</t>
        </is>
      </c>
      <c r="B261" t="n">
        <v>-3.47</v>
      </c>
      <c r="C261" t="n">
        <v>821</v>
      </c>
      <c r="D261" t="inlineStr">
        <is>
          <t>&lt; .001</t>
        </is>
      </c>
      <c r="E261" t="n">
        <v>-0.24</v>
      </c>
      <c r="F261" t="inlineStr">
        <is>
          <t>[-0.38, -0.11]</t>
        </is>
      </c>
      <c r="G261" t="inlineStr">
        <is>
          <t>&lt; .001</t>
        </is>
      </c>
      <c r="H261" t="inlineStr">
        <is>
          <t>✓</t>
        </is>
      </c>
    </row>
    <row r="262">
      <c r="A262" t="inlineStr">
        <is>
          <t>L_IFSp_ROI</t>
        </is>
      </c>
      <c r="B262" t="n">
        <v>-3.7</v>
      </c>
      <c r="C262" t="n">
        <v>821</v>
      </c>
      <c r="D262" t="inlineStr">
        <is>
          <t>&lt; .001</t>
        </is>
      </c>
      <c r="E262" t="n">
        <v>-0.26</v>
      </c>
      <c r="F262" t="inlineStr">
        <is>
          <t>[-0.39, -0.12]</t>
        </is>
      </c>
      <c r="G262" t="inlineStr">
        <is>
          <t>&lt; .001</t>
        </is>
      </c>
      <c r="H262" t="inlineStr">
        <is>
          <t>✓</t>
        </is>
      </c>
    </row>
    <row r="263">
      <c r="A263" t="inlineStr">
        <is>
          <t>L_IFSa_ROI</t>
        </is>
      </c>
      <c r="B263" t="n">
        <v>-3.02</v>
      </c>
      <c r="C263" t="n">
        <v>821</v>
      </c>
      <c r="D263">
        <f> 0.003</f>
        <v/>
      </c>
      <c r="E263" t="n">
        <v>-0.21</v>
      </c>
      <c r="F263" t="inlineStr">
        <is>
          <t>[-0.35, -0.07]</t>
        </is>
      </c>
      <c r="G263">
        <f> 0.004</f>
        <v/>
      </c>
      <c r="H263" t="inlineStr">
        <is>
          <t>✓</t>
        </is>
      </c>
    </row>
    <row r="264">
      <c r="A264" t="inlineStr">
        <is>
          <t>L_p9_46v_ROI</t>
        </is>
      </c>
      <c r="B264" t="n">
        <v>-3.77</v>
      </c>
      <c r="C264" t="n">
        <v>821</v>
      </c>
      <c r="D264" t="inlineStr">
        <is>
          <t>&lt; .001</t>
        </is>
      </c>
      <c r="E264" t="n">
        <v>-0.26</v>
      </c>
      <c r="F264" t="inlineStr">
        <is>
          <t>[-0.40, -0.13]</t>
        </is>
      </c>
      <c r="G264" t="inlineStr">
        <is>
          <t>&lt; .001</t>
        </is>
      </c>
      <c r="H264" t="inlineStr">
        <is>
          <t>✓</t>
        </is>
      </c>
    </row>
    <row r="265">
      <c r="A265" t="inlineStr">
        <is>
          <t>L_46_ROI</t>
        </is>
      </c>
      <c r="B265" t="n">
        <v>-3.82</v>
      </c>
      <c r="C265" t="n">
        <v>821</v>
      </c>
      <c r="D265" t="inlineStr">
        <is>
          <t>&lt; .001</t>
        </is>
      </c>
      <c r="E265" t="n">
        <v>-0.27</v>
      </c>
      <c r="F265" t="inlineStr">
        <is>
          <t>[-0.40, -0.13]</t>
        </is>
      </c>
      <c r="G265" t="inlineStr">
        <is>
          <t>&lt; .001</t>
        </is>
      </c>
      <c r="H265" t="inlineStr">
        <is>
          <t>✓</t>
        </is>
      </c>
    </row>
    <row r="266">
      <c r="A266" t="inlineStr">
        <is>
          <t>L_a9_46v_ROI</t>
        </is>
      </c>
      <c r="B266" t="n">
        <v>-3.17</v>
      </c>
      <c r="C266" t="n">
        <v>821</v>
      </c>
      <c r="D266">
        <f> 0.002</f>
        <v/>
      </c>
      <c r="E266" t="n">
        <v>-0.22</v>
      </c>
      <c r="F266" t="inlineStr">
        <is>
          <t>[-0.36, -0.08]</t>
        </is>
      </c>
      <c r="G266">
        <f> 0.002</f>
        <v/>
      </c>
      <c r="H266" t="inlineStr">
        <is>
          <t>✓</t>
        </is>
      </c>
    </row>
    <row r="267">
      <c r="A267" t="inlineStr">
        <is>
          <t>L_9_46d_ROI</t>
        </is>
      </c>
      <c r="B267" t="n">
        <v>-3.84</v>
      </c>
      <c r="C267" t="n">
        <v>821</v>
      </c>
      <c r="D267" t="inlineStr">
        <is>
          <t>&lt; .001</t>
        </is>
      </c>
      <c r="E267" t="n">
        <v>-0.27</v>
      </c>
      <c r="F267" t="inlineStr">
        <is>
          <t>[-0.41, -0.13]</t>
        </is>
      </c>
      <c r="G267" t="inlineStr">
        <is>
          <t>&lt; .001</t>
        </is>
      </c>
      <c r="H267" t="inlineStr">
        <is>
          <t>✓</t>
        </is>
      </c>
    </row>
    <row r="268">
      <c r="A268" t="inlineStr">
        <is>
          <t>L_9a_ROI</t>
        </is>
      </c>
      <c r="B268" t="n">
        <v>-3.62</v>
      </c>
      <c r="C268" t="n">
        <v>821</v>
      </c>
      <c r="D268" t="inlineStr">
        <is>
          <t>&lt; .001</t>
        </is>
      </c>
      <c r="E268" t="n">
        <v>-0.25</v>
      </c>
      <c r="F268" t="inlineStr">
        <is>
          <t>[-0.39, -0.12]</t>
        </is>
      </c>
      <c r="G268" t="inlineStr">
        <is>
          <t>&lt; .001</t>
        </is>
      </c>
      <c r="H268" t="inlineStr">
        <is>
          <t>✓</t>
        </is>
      </c>
    </row>
    <row r="269">
      <c r="A269" t="inlineStr">
        <is>
          <t>L_10v_ROI</t>
        </is>
      </c>
      <c r="B269" t="n">
        <v>1.16</v>
      </c>
      <c r="C269" t="n">
        <v>821</v>
      </c>
      <c r="D269">
        <f> 0.248</f>
        <v/>
      </c>
      <c r="E269" t="n">
        <v>0.08</v>
      </c>
      <c r="F269" t="inlineStr">
        <is>
          <t>[-0.06, 0.22]</t>
        </is>
      </c>
      <c r="G269">
        <f> 0.256</f>
        <v/>
      </c>
      <c r="H269" t="inlineStr"/>
    </row>
    <row r="270">
      <c r="A270" t="inlineStr">
        <is>
          <t>L_a10p_ROI</t>
        </is>
      </c>
      <c r="B270" t="n">
        <v>-2.9</v>
      </c>
      <c r="C270" t="n">
        <v>821</v>
      </c>
      <c r="D270">
        <f> 0.004</f>
        <v/>
      </c>
      <c r="E270" t="n">
        <v>-0.2</v>
      </c>
      <c r="F270" t="inlineStr">
        <is>
          <t>[-0.34, -0.06]</t>
        </is>
      </c>
      <c r="G270">
        <f> 0.005</f>
        <v/>
      </c>
      <c r="H270" t="inlineStr">
        <is>
          <t>✓</t>
        </is>
      </c>
    </row>
    <row r="271">
      <c r="A271" t="inlineStr">
        <is>
          <t>L_10pp_ROI</t>
        </is>
      </c>
      <c r="B271" t="n">
        <v>-0.89</v>
      </c>
      <c r="C271" t="n">
        <v>821</v>
      </c>
      <c r="D271">
        <f> 0.375</f>
        <v/>
      </c>
      <c r="E271" t="n">
        <v>-0.06</v>
      </c>
      <c r="F271" t="inlineStr">
        <is>
          <t>[-0.20, 0.07]</t>
        </is>
      </c>
      <c r="G271">
        <f> 0.381</f>
        <v/>
      </c>
      <c r="H271" t="inlineStr"/>
    </row>
    <row r="272">
      <c r="A272" t="inlineStr">
        <is>
          <t>L_11l_ROI</t>
        </is>
      </c>
      <c r="B272" t="n">
        <v>-1.41</v>
      </c>
      <c r="C272" t="n">
        <v>821</v>
      </c>
      <c r="D272">
        <f> 0.159</f>
        <v/>
      </c>
      <c r="E272" t="n">
        <v>-0.1</v>
      </c>
      <c r="F272" t="inlineStr">
        <is>
          <t>[-0.24, 0.04]</t>
        </is>
      </c>
      <c r="G272">
        <f> 0.167</f>
        <v/>
      </c>
      <c r="H272" t="inlineStr"/>
    </row>
    <row r="273">
      <c r="A273" t="inlineStr">
        <is>
          <t>L_13l_ROI</t>
        </is>
      </c>
      <c r="B273" t="n">
        <v>-3.83</v>
      </c>
      <c r="C273" t="n">
        <v>821</v>
      </c>
      <c r="D273" t="inlineStr">
        <is>
          <t>&lt; .001</t>
        </is>
      </c>
      <c r="E273" t="n">
        <v>-0.27</v>
      </c>
      <c r="F273" t="inlineStr">
        <is>
          <t>[-0.40, -0.13]</t>
        </is>
      </c>
      <c r="G273" t="inlineStr">
        <is>
          <t>&lt; .001</t>
        </is>
      </c>
      <c r="H273" t="inlineStr">
        <is>
          <t>✓</t>
        </is>
      </c>
    </row>
    <row r="274">
      <c r="A274" t="inlineStr">
        <is>
          <t>L_OFC_ROI</t>
        </is>
      </c>
      <c r="B274" t="n">
        <v>-0.9</v>
      </c>
      <c r="C274" t="n">
        <v>821</v>
      </c>
      <c r="D274">
        <f> 0.368</f>
        <v/>
      </c>
      <c r="E274" t="n">
        <v>-0.06</v>
      </c>
      <c r="F274" t="inlineStr">
        <is>
          <t>[-0.20, 0.07]</t>
        </is>
      </c>
      <c r="G274">
        <f> 0.376</f>
        <v/>
      </c>
      <c r="H274" t="inlineStr"/>
    </row>
    <row r="275">
      <c r="A275" t="inlineStr">
        <is>
          <t>L_47s_ROI</t>
        </is>
      </c>
      <c r="B275" t="n">
        <v>-3.98</v>
      </c>
      <c r="C275" t="n">
        <v>821</v>
      </c>
      <c r="D275" t="inlineStr">
        <is>
          <t>&lt; .001</t>
        </is>
      </c>
      <c r="E275" t="n">
        <v>-0.28</v>
      </c>
      <c r="F275" t="inlineStr">
        <is>
          <t>[-0.42, -0.14]</t>
        </is>
      </c>
      <c r="G275" t="inlineStr">
        <is>
          <t>&lt; .001</t>
        </is>
      </c>
      <c r="H275" t="inlineStr">
        <is>
          <t>✓</t>
        </is>
      </c>
    </row>
    <row r="276">
      <c r="A276" t="inlineStr">
        <is>
          <t>L_LIPd_ROI</t>
        </is>
      </c>
      <c r="B276" t="n">
        <v>-4.54</v>
      </c>
      <c r="C276" t="n">
        <v>821</v>
      </c>
      <c r="D276" t="inlineStr">
        <is>
          <t>&lt; .001</t>
        </is>
      </c>
      <c r="E276" t="n">
        <v>-0.32</v>
      </c>
      <c r="F276" t="inlineStr">
        <is>
          <t>[-0.45, -0.18]</t>
        </is>
      </c>
      <c r="G276" t="inlineStr">
        <is>
          <t>&lt; .001</t>
        </is>
      </c>
      <c r="H276" t="inlineStr">
        <is>
          <t>✓</t>
        </is>
      </c>
    </row>
    <row r="277">
      <c r="A277" t="inlineStr">
        <is>
          <t>L_6a_ROI</t>
        </is>
      </c>
      <c r="B277" t="n">
        <v>-4.34</v>
      </c>
      <c r="C277" t="n">
        <v>821</v>
      </c>
      <c r="D277" t="inlineStr">
        <is>
          <t>&lt; .001</t>
        </is>
      </c>
      <c r="E277" t="n">
        <v>-0.3</v>
      </c>
      <c r="F277" t="inlineStr">
        <is>
          <t>[-0.44, -0.17]</t>
        </is>
      </c>
      <c r="G277" t="inlineStr">
        <is>
          <t>&lt; .001</t>
        </is>
      </c>
      <c r="H277" t="inlineStr">
        <is>
          <t>✓</t>
        </is>
      </c>
    </row>
    <row r="278">
      <c r="A278" t="inlineStr">
        <is>
          <t>L_i6_8_ROI</t>
        </is>
      </c>
      <c r="B278" t="n">
        <v>-2.91</v>
      </c>
      <c r="C278" t="n">
        <v>821</v>
      </c>
      <c r="D278">
        <f> 0.004</f>
        <v/>
      </c>
      <c r="E278" t="n">
        <v>-0.2</v>
      </c>
      <c r="F278" t="inlineStr">
        <is>
          <t>[-0.34, -0.07]</t>
        </is>
      </c>
      <c r="G278">
        <f> 0.005</f>
        <v/>
      </c>
      <c r="H278" t="inlineStr">
        <is>
          <t>✓</t>
        </is>
      </c>
    </row>
    <row r="279">
      <c r="A279" t="inlineStr">
        <is>
          <t>L_s6_8_ROI</t>
        </is>
      </c>
      <c r="B279" t="n">
        <v>-3.35</v>
      </c>
      <c r="C279" t="n">
        <v>821</v>
      </c>
      <c r="D279" t="inlineStr">
        <is>
          <t>&lt; .001</t>
        </is>
      </c>
      <c r="E279" t="n">
        <v>-0.23</v>
      </c>
      <c r="F279" t="inlineStr">
        <is>
          <t>[-0.37, -0.10]</t>
        </is>
      </c>
      <c r="G279">
        <f> 0.001</f>
        <v/>
      </c>
      <c r="H279" t="inlineStr">
        <is>
          <t>✓</t>
        </is>
      </c>
    </row>
    <row r="280">
      <c r="A280" t="inlineStr">
        <is>
          <t>L_43_ROI</t>
        </is>
      </c>
      <c r="B280" t="n">
        <v>-3.81</v>
      </c>
      <c r="C280" t="n">
        <v>821</v>
      </c>
      <c r="D280" t="inlineStr">
        <is>
          <t>&lt; .001</t>
        </is>
      </c>
      <c r="E280" t="n">
        <v>-0.27</v>
      </c>
      <c r="F280" t="inlineStr">
        <is>
          <t>[-0.40, -0.13]</t>
        </is>
      </c>
      <c r="G280" t="inlineStr">
        <is>
          <t>&lt; .001</t>
        </is>
      </c>
      <c r="H280" t="inlineStr">
        <is>
          <t>✓</t>
        </is>
      </c>
    </row>
    <row r="281">
      <c r="A281" t="inlineStr">
        <is>
          <t>L_OP4_ROI</t>
        </is>
      </c>
      <c r="B281" t="n">
        <v>-4.12</v>
      </c>
      <c r="C281" t="n">
        <v>821</v>
      </c>
      <c r="D281" t="inlineStr">
        <is>
          <t>&lt; .001</t>
        </is>
      </c>
      <c r="E281" t="n">
        <v>-0.29</v>
      </c>
      <c r="F281" t="inlineStr">
        <is>
          <t>[-0.42, -0.15]</t>
        </is>
      </c>
      <c r="G281" t="inlineStr">
        <is>
          <t>&lt; .001</t>
        </is>
      </c>
      <c r="H281" t="inlineStr">
        <is>
          <t>✓</t>
        </is>
      </c>
    </row>
    <row r="282">
      <c r="A282" t="inlineStr">
        <is>
          <t>L_OP1_ROI</t>
        </is>
      </c>
      <c r="B282" t="n">
        <v>-3.43</v>
      </c>
      <c r="C282" t="n">
        <v>821</v>
      </c>
      <c r="D282" t="inlineStr">
        <is>
          <t>&lt; .001</t>
        </is>
      </c>
      <c r="E282" t="n">
        <v>-0.24</v>
      </c>
      <c r="F282" t="inlineStr">
        <is>
          <t>[-0.38, -0.10]</t>
        </is>
      </c>
      <c r="G282" t="inlineStr">
        <is>
          <t>&lt; .001</t>
        </is>
      </c>
      <c r="H282" t="inlineStr">
        <is>
          <t>✓</t>
        </is>
      </c>
    </row>
    <row r="283">
      <c r="A283" t="inlineStr">
        <is>
          <t>L_OP2_3_ROI</t>
        </is>
      </c>
      <c r="B283" t="n">
        <v>-4.81</v>
      </c>
      <c r="C283" t="n">
        <v>821</v>
      </c>
      <c r="D283" t="inlineStr">
        <is>
          <t>&lt; .001</t>
        </is>
      </c>
      <c r="E283" t="n">
        <v>-0.34</v>
      </c>
      <c r="F283" t="inlineStr">
        <is>
          <t>[-0.47, -0.20]</t>
        </is>
      </c>
      <c r="G283" t="inlineStr">
        <is>
          <t>&lt; .001</t>
        </is>
      </c>
      <c r="H283" t="inlineStr">
        <is>
          <t>✓</t>
        </is>
      </c>
    </row>
    <row r="284">
      <c r="A284" t="inlineStr">
        <is>
          <t>L_52_ROI</t>
        </is>
      </c>
      <c r="B284" t="n">
        <v>-2.51</v>
      </c>
      <c r="C284" t="n">
        <v>821</v>
      </c>
      <c r="D284">
        <f> 0.012</f>
        <v/>
      </c>
      <c r="E284" t="n">
        <v>-0.18</v>
      </c>
      <c r="F284" t="inlineStr">
        <is>
          <t>[-0.31, -0.04]</t>
        </is>
      </c>
      <c r="G284">
        <f> 0.015</f>
        <v/>
      </c>
      <c r="H284" t="inlineStr">
        <is>
          <t>✓</t>
        </is>
      </c>
    </row>
    <row r="285">
      <c r="A285" t="inlineStr">
        <is>
          <t>L_RI_ROI</t>
        </is>
      </c>
      <c r="B285" t="n">
        <v>-4.51</v>
      </c>
      <c r="C285" t="n">
        <v>821</v>
      </c>
      <c r="D285" t="inlineStr">
        <is>
          <t>&lt; .001</t>
        </is>
      </c>
      <c r="E285" t="n">
        <v>-0.31</v>
      </c>
      <c r="F285" t="inlineStr">
        <is>
          <t>[-0.45, -0.18]</t>
        </is>
      </c>
      <c r="G285" t="inlineStr">
        <is>
          <t>&lt; .001</t>
        </is>
      </c>
      <c r="H285" t="inlineStr">
        <is>
          <t>✓</t>
        </is>
      </c>
    </row>
    <row r="286">
      <c r="A286" t="inlineStr">
        <is>
          <t>L_PFcm_ROI</t>
        </is>
      </c>
      <c r="B286" t="n">
        <v>-4.07</v>
      </c>
      <c r="C286" t="n">
        <v>821</v>
      </c>
      <c r="D286" t="inlineStr">
        <is>
          <t>&lt; .001</t>
        </is>
      </c>
      <c r="E286" t="n">
        <v>-0.28</v>
      </c>
      <c r="F286" t="inlineStr">
        <is>
          <t>[-0.42, -0.15]</t>
        </is>
      </c>
      <c r="G286" t="inlineStr">
        <is>
          <t>&lt; .001</t>
        </is>
      </c>
      <c r="H286" t="inlineStr">
        <is>
          <t>✓</t>
        </is>
      </c>
    </row>
    <row r="287">
      <c r="A287" t="inlineStr">
        <is>
          <t>L_PoI2_ROI</t>
        </is>
      </c>
      <c r="B287" t="n">
        <v>-2.22</v>
      </c>
      <c r="C287" t="n">
        <v>821</v>
      </c>
      <c r="D287">
        <f> 0.026</f>
        <v/>
      </c>
      <c r="E287" t="n">
        <v>-0.16</v>
      </c>
      <c r="F287" t="inlineStr">
        <is>
          <t>[-0.29, -0.02]</t>
        </is>
      </c>
      <c r="G287">
        <f> 0.030</f>
        <v/>
      </c>
      <c r="H287" t="inlineStr">
        <is>
          <t>✓</t>
        </is>
      </c>
    </row>
    <row r="288">
      <c r="A288" t="inlineStr">
        <is>
          <t>L_TA2_ROI</t>
        </is>
      </c>
      <c r="B288" t="n">
        <v>-2.33</v>
      </c>
      <c r="C288" t="n">
        <v>821</v>
      </c>
      <c r="D288">
        <f> 0.020</f>
        <v/>
      </c>
      <c r="E288" t="n">
        <v>-0.16</v>
      </c>
      <c r="F288" t="inlineStr">
        <is>
          <t>[-0.30, -0.03]</t>
        </is>
      </c>
      <c r="G288">
        <f> 0.023</f>
        <v/>
      </c>
      <c r="H288" t="inlineStr">
        <is>
          <t>✓</t>
        </is>
      </c>
    </row>
    <row r="289">
      <c r="A289" t="inlineStr">
        <is>
          <t>L_FOP4_ROI</t>
        </is>
      </c>
      <c r="B289" t="n">
        <v>-4.62</v>
      </c>
      <c r="C289" t="n">
        <v>821</v>
      </c>
      <c r="D289" t="inlineStr">
        <is>
          <t>&lt; .001</t>
        </is>
      </c>
      <c r="E289" t="n">
        <v>-0.32</v>
      </c>
      <c r="F289" t="inlineStr">
        <is>
          <t>[-0.46, -0.18]</t>
        </is>
      </c>
      <c r="G289" t="inlineStr">
        <is>
          <t>&lt; .001</t>
        </is>
      </c>
      <c r="H289" t="inlineStr">
        <is>
          <t>✓</t>
        </is>
      </c>
    </row>
    <row r="290">
      <c r="A290" t="inlineStr">
        <is>
          <t>L_MI_ROI</t>
        </is>
      </c>
      <c r="B290" t="n">
        <v>-3.57</v>
      </c>
      <c r="C290" t="n">
        <v>821</v>
      </c>
      <c r="D290" t="inlineStr">
        <is>
          <t>&lt; .001</t>
        </is>
      </c>
      <c r="E290" t="n">
        <v>-0.25</v>
      </c>
      <c r="F290" t="inlineStr">
        <is>
          <t>[-0.39, -0.11]</t>
        </is>
      </c>
      <c r="G290" t="inlineStr">
        <is>
          <t>&lt; .001</t>
        </is>
      </c>
      <c r="H290" t="inlineStr">
        <is>
          <t>✓</t>
        </is>
      </c>
    </row>
    <row r="291">
      <c r="A291" t="inlineStr">
        <is>
          <t>L_Pir_ROI</t>
        </is>
      </c>
      <c r="B291" t="n">
        <v>-3.22</v>
      </c>
      <c r="C291" t="n">
        <v>821</v>
      </c>
      <c r="D291">
        <f> 0.001</f>
        <v/>
      </c>
      <c r="E291" t="n">
        <v>-0.22</v>
      </c>
      <c r="F291" t="inlineStr">
        <is>
          <t>[-0.36, -0.09]</t>
        </is>
      </c>
      <c r="G291">
        <f> 0.002</f>
        <v/>
      </c>
      <c r="H291" t="inlineStr">
        <is>
          <t>✓</t>
        </is>
      </c>
    </row>
    <row r="292">
      <c r="A292" t="inlineStr">
        <is>
          <t>L_AVI_ROI</t>
        </is>
      </c>
      <c r="B292" t="n">
        <v>-2.57</v>
      </c>
      <c r="C292" t="n">
        <v>821</v>
      </c>
      <c r="D292">
        <f> 0.010</f>
        <v/>
      </c>
      <c r="E292" t="n">
        <v>-0.18</v>
      </c>
      <c r="F292" t="inlineStr">
        <is>
          <t>[-0.32, -0.04]</t>
        </is>
      </c>
      <c r="G292">
        <f> 0.013</f>
        <v/>
      </c>
      <c r="H292" t="inlineStr">
        <is>
          <t>✓</t>
        </is>
      </c>
    </row>
    <row r="293">
      <c r="A293" t="inlineStr">
        <is>
          <t>L_AAIC_ROI</t>
        </is>
      </c>
      <c r="B293" t="n">
        <v>-2.08</v>
      </c>
      <c r="C293" t="n">
        <v>821</v>
      </c>
      <c r="D293">
        <f> 0.038</f>
        <v/>
      </c>
      <c r="E293" t="n">
        <v>-0.14</v>
      </c>
      <c r="F293" t="inlineStr">
        <is>
          <t>[-0.28, -0.01]</t>
        </is>
      </c>
      <c r="G293">
        <f> 0.042</f>
        <v/>
      </c>
      <c r="H293" t="inlineStr">
        <is>
          <t>✓</t>
        </is>
      </c>
    </row>
    <row r="294">
      <c r="A294" t="inlineStr">
        <is>
          <t>L_FOP1_ROI</t>
        </is>
      </c>
      <c r="B294" t="n">
        <v>-3.62</v>
      </c>
      <c r="C294" t="n">
        <v>821</v>
      </c>
      <c r="D294" t="inlineStr">
        <is>
          <t>&lt; .001</t>
        </is>
      </c>
      <c r="E294" t="n">
        <v>-0.25</v>
      </c>
      <c r="F294" t="inlineStr">
        <is>
          <t>[-0.39, -0.12]</t>
        </is>
      </c>
      <c r="G294" t="inlineStr">
        <is>
          <t>&lt; .001</t>
        </is>
      </c>
      <c r="H294" t="inlineStr">
        <is>
          <t>✓</t>
        </is>
      </c>
    </row>
    <row r="295">
      <c r="A295" t="inlineStr">
        <is>
          <t>L_FOP3_ROI</t>
        </is>
      </c>
      <c r="B295" t="n">
        <v>-4.3</v>
      </c>
      <c r="C295" t="n">
        <v>821</v>
      </c>
      <c r="D295" t="inlineStr">
        <is>
          <t>&lt; .001</t>
        </is>
      </c>
      <c r="E295" t="n">
        <v>-0.3</v>
      </c>
      <c r="F295" t="inlineStr">
        <is>
          <t>[-0.44, -0.16]</t>
        </is>
      </c>
      <c r="G295" t="inlineStr">
        <is>
          <t>&lt; .001</t>
        </is>
      </c>
      <c r="H295" t="inlineStr">
        <is>
          <t>✓</t>
        </is>
      </c>
    </row>
    <row r="296">
      <c r="A296" t="inlineStr">
        <is>
          <t>L_FOP2_ROI</t>
        </is>
      </c>
      <c r="B296" t="n">
        <v>-3.79</v>
      </c>
      <c r="C296" t="n">
        <v>821</v>
      </c>
      <c r="D296" t="inlineStr">
        <is>
          <t>&lt; .001</t>
        </is>
      </c>
      <c r="E296" t="n">
        <v>-0.26</v>
      </c>
      <c r="F296" t="inlineStr">
        <is>
          <t>[-0.40, -0.13]</t>
        </is>
      </c>
      <c r="G296" t="inlineStr">
        <is>
          <t>&lt; .001</t>
        </is>
      </c>
      <c r="H296" t="inlineStr">
        <is>
          <t>✓</t>
        </is>
      </c>
    </row>
    <row r="297">
      <c r="A297" t="inlineStr">
        <is>
          <t>L_PFt_ROI</t>
        </is>
      </c>
      <c r="B297" t="n">
        <v>-2.98</v>
      </c>
      <c r="C297" t="n">
        <v>821</v>
      </c>
      <c r="D297">
        <f> 0.003</f>
        <v/>
      </c>
      <c r="E297" t="n">
        <v>-0.21</v>
      </c>
      <c r="F297" t="inlineStr">
        <is>
          <t>[-0.34, -0.07]</t>
        </is>
      </c>
      <c r="G297">
        <f> 0.004</f>
        <v/>
      </c>
      <c r="H297" t="inlineStr">
        <is>
          <t>✓</t>
        </is>
      </c>
    </row>
    <row r="298">
      <c r="A298" t="inlineStr">
        <is>
          <t>L_AIP_ROI</t>
        </is>
      </c>
      <c r="B298" t="n">
        <v>-4.35</v>
      </c>
      <c r="C298" t="n">
        <v>821</v>
      </c>
      <c r="D298" t="inlineStr">
        <is>
          <t>&lt; .001</t>
        </is>
      </c>
      <c r="E298" t="n">
        <v>-0.3</v>
      </c>
      <c r="F298" t="inlineStr">
        <is>
          <t>[-0.44, -0.17]</t>
        </is>
      </c>
      <c r="G298" t="inlineStr">
        <is>
          <t>&lt; .001</t>
        </is>
      </c>
      <c r="H298" t="inlineStr">
        <is>
          <t>✓</t>
        </is>
      </c>
    </row>
    <row r="299">
      <c r="A299" t="inlineStr">
        <is>
          <t>L_EC_ROI</t>
        </is>
      </c>
      <c r="B299" t="n">
        <v>-1.23</v>
      </c>
      <c r="C299" t="n">
        <v>821</v>
      </c>
      <c r="D299">
        <f> 0.218</f>
        <v/>
      </c>
      <c r="E299" t="n">
        <v>-0.09</v>
      </c>
      <c r="F299" t="inlineStr">
        <is>
          <t>[-0.22, 0.05]</t>
        </is>
      </c>
      <c r="G299">
        <f> 0.227</f>
        <v/>
      </c>
      <c r="H299" t="inlineStr"/>
    </row>
    <row r="300">
      <c r="A300" t="inlineStr">
        <is>
          <t>L_PreS_ROI</t>
        </is>
      </c>
      <c r="B300" t="n">
        <v>-2.79</v>
      </c>
      <c r="C300" t="n">
        <v>821</v>
      </c>
      <c r="D300">
        <f> 0.005</f>
        <v/>
      </c>
      <c r="E300" t="n">
        <v>-0.19</v>
      </c>
      <c r="F300" t="inlineStr">
        <is>
          <t>[-0.33, -0.06]</t>
        </is>
      </c>
      <c r="G300">
        <f> 0.007</f>
        <v/>
      </c>
      <c r="H300" t="inlineStr">
        <is>
          <t>✓</t>
        </is>
      </c>
    </row>
    <row r="301">
      <c r="A301" t="inlineStr">
        <is>
          <t>L_H_ROI</t>
        </is>
      </c>
      <c r="B301" t="n">
        <v>-4.38</v>
      </c>
      <c r="C301" t="n">
        <v>821</v>
      </c>
      <c r="D301" t="inlineStr">
        <is>
          <t>&lt; .001</t>
        </is>
      </c>
      <c r="E301" t="n">
        <v>-0.31</v>
      </c>
      <c r="F301" t="inlineStr">
        <is>
          <t>[-0.44, -0.17]</t>
        </is>
      </c>
      <c r="G301" t="inlineStr">
        <is>
          <t>&lt; .001</t>
        </is>
      </c>
      <c r="H301" t="inlineStr">
        <is>
          <t>✓</t>
        </is>
      </c>
    </row>
    <row r="302">
      <c r="A302" t="inlineStr">
        <is>
          <t>L_ProS_ROI</t>
        </is>
      </c>
      <c r="B302" t="n">
        <v>-2.28</v>
      </c>
      <c r="C302" t="n">
        <v>821</v>
      </c>
      <c r="D302">
        <f> 0.023</f>
        <v/>
      </c>
      <c r="E302" t="n">
        <v>-0.16</v>
      </c>
      <c r="F302" t="inlineStr">
        <is>
          <t>[-0.30, -0.02]</t>
        </is>
      </c>
      <c r="G302">
        <f> 0.027</f>
        <v/>
      </c>
      <c r="H302" t="inlineStr">
        <is>
          <t>✓</t>
        </is>
      </c>
    </row>
    <row r="303">
      <c r="A303" t="inlineStr">
        <is>
          <t>L_PeEc_ROI</t>
        </is>
      </c>
      <c r="B303" t="n">
        <v>-3.26</v>
      </c>
      <c r="C303" t="n">
        <v>821</v>
      </c>
      <c r="D303">
        <f> 0.001</f>
        <v/>
      </c>
      <c r="E303" t="n">
        <v>-0.23</v>
      </c>
      <c r="F303" t="inlineStr">
        <is>
          <t>[-0.36, -0.09]</t>
        </is>
      </c>
      <c r="G303">
        <f> 0.002</f>
        <v/>
      </c>
      <c r="H303" t="inlineStr">
        <is>
          <t>✓</t>
        </is>
      </c>
    </row>
    <row r="304">
      <c r="A304" t="inlineStr">
        <is>
          <t>L_STGa_ROI</t>
        </is>
      </c>
      <c r="B304" t="n">
        <v>-3.82</v>
      </c>
      <c r="C304" t="n">
        <v>821</v>
      </c>
      <c r="D304" t="inlineStr">
        <is>
          <t>&lt; .001</t>
        </is>
      </c>
      <c r="E304" t="n">
        <v>-0.27</v>
      </c>
      <c r="F304" t="inlineStr">
        <is>
          <t>[-0.40, -0.13]</t>
        </is>
      </c>
      <c r="G304" t="inlineStr">
        <is>
          <t>&lt; .001</t>
        </is>
      </c>
      <c r="H304" t="inlineStr">
        <is>
          <t>✓</t>
        </is>
      </c>
    </row>
    <row r="305">
      <c r="A305" t="inlineStr">
        <is>
          <t>L_PBelt_ROI</t>
        </is>
      </c>
      <c r="B305" t="n">
        <v>-3.48</v>
      </c>
      <c r="C305" t="n">
        <v>821</v>
      </c>
      <c r="D305" t="inlineStr">
        <is>
          <t>&lt; .001</t>
        </is>
      </c>
      <c r="E305" t="n">
        <v>-0.24</v>
      </c>
      <c r="F305" t="inlineStr">
        <is>
          <t>[-0.38, -0.11]</t>
        </is>
      </c>
      <c r="G305" t="inlineStr">
        <is>
          <t>&lt; .001</t>
        </is>
      </c>
      <c r="H305" t="inlineStr">
        <is>
          <t>✓</t>
        </is>
      </c>
    </row>
    <row r="306">
      <c r="A306" t="inlineStr">
        <is>
          <t>L_A5_ROI</t>
        </is>
      </c>
      <c r="B306" t="n">
        <v>-3.96</v>
      </c>
      <c r="C306" t="n">
        <v>821</v>
      </c>
      <c r="D306" t="inlineStr">
        <is>
          <t>&lt; .001</t>
        </is>
      </c>
      <c r="E306" t="n">
        <v>-0.28</v>
      </c>
      <c r="F306" t="inlineStr">
        <is>
          <t>[-0.41, -0.14]</t>
        </is>
      </c>
      <c r="G306" t="inlineStr">
        <is>
          <t>&lt; .001</t>
        </is>
      </c>
      <c r="H306" t="inlineStr">
        <is>
          <t>✓</t>
        </is>
      </c>
    </row>
    <row r="307">
      <c r="A307" t="inlineStr">
        <is>
          <t>L_PHA1_ROI</t>
        </is>
      </c>
      <c r="B307" t="n">
        <v>-4.53</v>
      </c>
      <c r="C307" t="n">
        <v>821</v>
      </c>
      <c r="D307" t="inlineStr">
        <is>
          <t>&lt; .001</t>
        </is>
      </c>
      <c r="E307" t="n">
        <v>-0.32</v>
      </c>
      <c r="F307" t="inlineStr">
        <is>
          <t>[-0.45, -0.18]</t>
        </is>
      </c>
      <c r="G307" t="inlineStr">
        <is>
          <t>&lt; .001</t>
        </is>
      </c>
      <c r="H307" t="inlineStr">
        <is>
          <t>✓</t>
        </is>
      </c>
    </row>
    <row r="308">
      <c r="A308" t="inlineStr">
        <is>
          <t>L_PHA3_ROI</t>
        </is>
      </c>
      <c r="B308" t="n">
        <v>-4.17</v>
      </c>
      <c r="C308" t="n">
        <v>821</v>
      </c>
      <c r="D308" t="inlineStr">
        <is>
          <t>&lt; .001</t>
        </is>
      </c>
      <c r="E308" t="n">
        <v>-0.29</v>
      </c>
      <c r="F308" t="inlineStr">
        <is>
          <t>[-0.43, -0.15]</t>
        </is>
      </c>
      <c r="G308" t="inlineStr">
        <is>
          <t>&lt; .001</t>
        </is>
      </c>
      <c r="H308" t="inlineStr">
        <is>
          <t>✓</t>
        </is>
      </c>
    </row>
    <row r="309">
      <c r="A309" t="inlineStr">
        <is>
          <t>L_STSda_ROI</t>
        </is>
      </c>
      <c r="B309" t="n">
        <v>-3.22</v>
      </c>
      <c r="C309" t="n">
        <v>821</v>
      </c>
      <c r="D309">
        <f> 0.001</f>
        <v/>
      </c>
      <c r="E309" t="n">
        <v>-0.22</v>
      </c>
      <c r="F309" t="inlineStr">
        <is>
          <t>[-0.36, -0.09]</t>
        </is>
      </c>
      <c r="G309">
        <f> 0.002</f>
        <v/>
      </c>
      <c r="H309" t="inlineStr">
        <is>
          <t>✓</t>
        </is>
      </c>
    </row>
    <row r="310">
      <c r="A310" t="inlineStr">
        <is>
          <t>L_STSdp_ROI</t>
        </is>
      </c>
      <c r="B310" t="n">
        <v>-3.75</v>
      </c>
      <c r="C310" t="n">
        <v>821</v>
      </c>
      <c r="D310" t="inlineStr">
        <is>
          <t>&lt; .001</t>
        </is>
      </c>
      <c r="E310" t="n">
        <v>-0.26</v>
      </c>
      <c r="F310" t="inlineStr">
        <is>
          <t>[-0.40, -0.12]</t>
        </is>
      </c>
      <c r="G310" t="inlineStr">
        <is>
          <t>&lt; .001</t>
        </is>
      </c>
      <c r="H310" t="inlineStr">
        <is>
          <t>✓</t>
        </is>
      </c>
    </row>
    <row r="311">
      <c r="A311" t="inlineStr">
        <is>
          <t>L_STSvp_ROI</t>
        </is>
      </c>
      <c r="B311" t="n">
        <v>-3.78</v>
      </c>
      <c r="C311" t="n">
        <v>821</v>
      </c>
      <c r="D311" t="inlineStr">
        <is>
          <t>&lt; .001</t>
        </is>
      </c>
      <c r="E311" t="n">
        <v>-0.26</v>
      </c>
      <c r="F311" t="inlineStr">
        <is>
          <t>[-0.40, -0.13]</t>
        </is>
      </c>
      <c r="G311" t="inlineStr">
        <is>
          <t>&lt; .001</t>
        </is>
      </c>
      <c r="H311" t="inlineStr">
        <is>
          <t>✓</t>
        </is>
      </c>
    </row>
    <row r="312">
      <c r="A312" t="inlineStr">
        <is>
          <t>L_TGd_ROI</t>
        </is>
      </c>
      <c r="B312" t="n">
        <v>-4.05</v>
      </c>
      <c r="C312" t="n">
        <v>821</v>
      </c>
      <c r="D312" t="inlineStr">
        <is>
          <t>&lt; .001</t>
        </is>
      </c>
      <c r="E312" t="n">
        <v>-0.28</v>
      </c>
      <c r="F312" t="inlineStr">
        <is>
          <t>[-0.42, -0.15]</t>
        </is>
      </c>
      <c r="G312" t="inlineStr">
        <is>
          <t>&lt; .001</t>
        </is>
      </c>
      <c r="H312" t="inlineStr">
        <is>
          <t>✓</t>
        </is>
      </c>
    </row>
    <row r="313">
      <c r="A313" t="inlineStr">
        <is>
          <t>L_TE1a_ROI</t>
        </is>
      </c>
      <c r="B313" t="n">
        <v>-3.04</v>
      </c>
      <c r="C313" t="n">
        <v>821</v>
      </c>
      <c r="D313">
        <f> 0.002</f>
        <v/>
      </c>
      <c r="E313" t="n">
        <v>-0.21</v>
      </c>
      <c r="F313" t="inlineStr">
        <is>
          <t>[-0.35, -0.07]</t>
        </is>
      </c>
      <c r="G313">
        <f> 0.003</f>
        <v/>
      </c>
      <c r="H313" t="inlineStr">
        <is>
          <t>✓</t>
        </is>
      </c>
    </row>
    <row r="314">
      <c r="A314" t="inlineStr">
        <is>
          <t>L_TE1p_ROI</t>
        </is>
      </c>
      <c r="B314" t="n">
        <v>-2.85</v>
      </c>
      <c r="C314" t="n">
        <v>821</v>
      </c>
      <c r="D314">
        <f> 0.005</f>
        <v/>
      </c>
      <c r="E314" t="n">
        <v>-0.2</v>
      </c>
      <c r="F314" t="inlineStr">
        <is>
          <t>[-0.34, -0.06]</t>
        </is>
      </c>
      <c r="G314">
        <f> 0.006</f>
        <v/>
      </c>
      <c r="H314" t="inlineStr">
        <is>
          <t>✓</t>
        </is>
      </c>
    </row>
    <row r="315">
      <c r="A315" t="inlineStr">
        <is>
          <t>L_TE2a_ROI</t>
        </is>
      </c>
      <c r="B315" t="n">
        <v>-0.7</v>
      </c>
      <c r="C315" t="n">
        <v>821</v>
      </c>
      <c r="D315">
        <f> 0.483</f>
        <v/>
      </c>
      <c r="E315" t="n">
        <v>-0.05</v>
      </c>
      <c r="F315" t="inlineStr">
        <is>
          <t>[-0.19, 0.09]</t>
        </is>
      </c>
      <c r="G315">
        <f> 0.486</f>
        <v/>
      </c>
      <c r="H315" t="inlineStr"/>
    </row>
    <row r="316">
      <c r="A316" t="inlineStr">
        <is>
          <t>L_TF_ROI</t>
        </is>
      </c>
      <c r="B316" t="n">
        <v>-2.45</v>
      </c>
      <c r="C316" t="n">
        <v>821</v>
      </c>
      <c r="D316">
        <f> 0.015</f>
        <v/>
      </c>
      <c r="E316" t="n">
        <v>-0.17</v>
      </c>
      <c r="F316" t="inlineStr">
        <is>
          <t>[-0.31, -0.03]</t>
        </is>
      </c>
      <c r="G316">
        <f> 0.017</f>
        <v/>
      </c>
      <c r="H316" t="inlineStr">
        <is>
          <t>✓</t>
        </is>
      </c>
    </row>
    <row r="317">
      <c r="A317" t="inlineStr">
        <is>
          <t>L_TE2p_ROI</t>
        </is>
      </c>
      <c r="B317" t="n">
        <v>-1.99</v>
      </c>
      <c r="C317" t="n">
        <v>821</v>
      </c>
      <c r="D317">
        <f> 0.047</f>
        <v/>
      </c>
      <c r="E317" t="n">
        <v>-0.14</v>
      </c>
      <c r="F317" t="inlineStr">
        <is>
          <t>[-0.28, -0.00]</t>
        </is>
      </c>
      <c r="G317">
        <f> 0.052</f>
        <v/>
      </c>
      <c r="H317" t="inlineStr"/>
    </row>
    <row r="318">
      <c r="A318" t="inlineStr">
        <is>
          <t>L_PHT_ROI</t>
        </is>
      </c>
      <c r="B318" t="n">
        <v>-3.99</v>
      </c>
      <c r="C318" t="n">
        <v>821</v>
      </c>
      <c r="D318" t="inlineStr">
        <is>
          <t>&lt; .001</t>
        </is>
      </c>
      <c r="E318" t="n">
        <v>-0.28</v>
      </c>
      <c r="F318" t="inlineStr">
        <is>
          <t>[-0.42, -0.14]</t>
        </is>
      </c>
      <c r="G318" t="inlineStr">
        <is>
          <t>&lt; .001</t>
        </is>
      </c>
      <c r="H318" t="inlineStr">
        <is>
          <t>✓</t>
        </is>
      </c>
    </row>
    <row r="319">
      <c r="A319" t="inlineStr">
        <is>
          <t>L_PH_ROI</t>
        </is>
      </c>
      <c r="B319" t="n">
        <v>-2.92</v>
      </c>
      <c r="C319" t="n">
        <v>821</v>
      </c>
      <c r="D319">
        <f> 0.004</f>
        <v/>
      </c>
      <c r="E319" t="n">
        <v>-0.2</v>
      </c>
      <c r="F319" t="inlineStr">
        <is>
          <t>[-0.34, -0.07]</t>
        </is>
      </c>
      <c r="G319">
        <f> 0.005</f>
        <v/>
      </c>
      <c r="H319" t="inlineStr">
        <is>
          <t>✓</t>
        </is>
      </c>
    </row>
    <row r="320">
      <c r="A320" t="inlineStr">
        <is>
          <t>L_TPOJ1_ROI</t>
        </is>
      </c>
      <c r="B320" t="n">
        <v>-3.74</v>
      </c>
      <c r="C320" t="n">
        <v>821</v>
      </c>
      <c r="D320" t="inlineStr">
        <is>
          <t>&lt; .001</t>
        </is>
      </c>
      <c r="E320" t="n">
        <v>-0.26</v>
      </c>
      <c r="F320" t="inlineStr">
        <is>
          <t>[-0.40, -0.12]</t>
        </is>
      </c>
      <c r="G320" t="inlineStr">
        <is>
          <t>&lt; .001</t>
        </is>
      </c>
      <c r="H320" t="inlineStr">
        <is>
          <t>✓</t>
        </is>
      </c>
    </row>
    <row r="321">
      <c r="A321" t="inlineStr">
        <is>
          <t>L_TPOJ2_ROI</t>
        </is>
      </c>
      <c r="B321" t="n">
        <v>-4.05</v>
      </c>
      <c r="C321" t="n">
        <v>821</v>
      </c>
      <c r="D321" t="inlineStr">
        <is>
          <t>&lt; .001</t>
        </is>
      </c>
      <c r="E321" t="n">
        <v>-0.28</v>
      </c>
      <c r="F321" t="inlineStr">
        <is>
          <t>[-0.42, -0.15]</t>
        </is>
      </c>
      <c r="G321" t="inlineStr">
        <is>
          <t>&lt; .001</t>
        </is>
      </c>
      <c r="H321" t="inlineStr">
        <is>
          <t>✓</t>
        </is>
      </c>
    </row>
    <row r="322">
      <c r="A322" t="inlineStr">
        <is>
          <t>L_TPOJ3_ROI</t>
        </is>
      </c>
      <c r="B322" t="n">
        <v>-2.59</v>
      </c>
      <c r="C322" t="n">
        <v>821</v>
      </c>
      <c r="D322">
        <f> 0.010</f>
        <v/>
      </c>
      <c r="E322" t="n">
        <v>-0.18</v>
      </c>
      <c r="F322" t="inlineStr">
        <is>
          <t>[-0.32, -0.04]</t>
        </is>
      </c>
      <c r="G322">
        <f> 0.012</f>
        <v/>
      </c>
      <c r="H322" t="inlineStr">
        <is>
          <t>✓</t>
        </is>
      </c>
    </row>
    <row r="323">
      <c r="A323" t="inlineStr">
        <is>
          <t>L_DVT_ROI</t>
        </is>
      </c>
      <c r="B323" t="n">
        <v>-2.91</v>
      </c>
      <c r="C323" t="n">
        <v>821</v>
      </c>
      <c r="D323">
        <f> 0.004</f>
        <v/>
      </c>
      <c r="E323" t="n">
        <v>-0.2</v>
      </c>
      <c r="F323" t="inlineStr">
        <is>
          <t>[-0.34, -0.07]</t>
        </is>
      </c>
      <c r="G323">
        <f> 0.005</f>
        <v/>
      </c>
      <c r="H323" t="inlineStr">
        <is>
          <t>✓</t>
        </is>
      </c>
    </row>
    <row r="324">
      <c r="A324" t="inlineStr">
        <is>
          <t>L_PGp_ROI</t>
        </is>
      </c>
      <c r="B324" t="n">
        <v>-3.89</v>
      </c>
      <c r="C324" t="n">
        <v>821</v>
      </c>
      <c r="D324" t="inlineStr">
        <is>
          <t>&lt; .001</t>
        </is>
      </c>
      <c r="E324" t="n">
        <v>-0.27</v>
      </c>
      <c r="F324" t="inlineStr">
        <is>
          <t>[-0.41, -0.13]</t>
        </is>
      </c>
      <c r="G324" t="inlineStr">
        <is>
          <t>&lt; .001</t>
        </is>
      </c>
      <c r="H324" t="inlineStr">
        <is>
          <t>✓</t>
        </is>
      </c>
    </row>
    <row r="325">
      <c r="A325" t="inlineStr">
        <is>
          <t>L_IP2_ROI</t>
        </is>
      </c>
      <c r="B325" t="n">
        <v>-4.2</v>
      </c>
      <c r="C325" t="n">
        <v>821</v>
      </c>
      <c r="D325" t="inlineStr">
        <is>
          <t>&lt; .001</t>
        </is>
      </c>
      <c r="E325" t="n">
        <v>-0.29</v>
      </c>
      <c r="F325" t="inlineStr">
        <is>
          <t>[-0.43, -0.16]</t>
        </is>
      </c>
      <c r="G325" t="inlineStr">
        <is>
          <t>&lt; .001</t>
        </is>
      </c>
      <c r="H325" t="inlineStr">
        <is>
          <t>✓</t>
        </is>
      </c>
    </row>
    <row r="326">
      <c r="A326" t="inlineStr">
        <is>
          <t>L_IP1_ROI</t>
        </is>
      </c>
      <c r="B326" t="n">
        <v>-4.13</v>
      </c>
      <c r="C326" t="n">
        <v>821</v>
      </c>
      <c r="D326" t="inlineStr">
        <is>
          <t>&lt; .001</t>
        </is>
      </c>
      <c r="E326" t="n">
        <v>-0.29</v>
      </c>
      <c r="F326" t="inlineStr">
        <is>
          <t>[-0.43, -0.15]</t>
        </is>
      </c>
      <c r="G326" t="inlineStr">
        <is>
          <t>&lt; .001</t>
        </is>
      </c>
      <c r="H326" t="inlineStr">
        <is>
          <t>✓</t>
        </is>
      </c>
    </row>
    <row r="327">
      <c r="A327" t="inlineStr">
        <is>
          <t>L_IP0_ROI</t>
        </is>
      </c>
      <c r="B327" t="n">
        <v>-3.68</v>
      </c>
      <c r="C327" t="n">
        <v>821</v>
      </c>
      <c r="D327" t="inlineStr">
        <is>
          <t>&lt; .001</t>
        </is>
      </c>
      <c r="E327" t="n">
        <v>-0.26</v>
      </c>
      <c r="F327" t="inlineStr">
        <is>
          <t>[-0.39, -0.12]</t>
        </is>
      </c>
      <c r="G327" t="inlineStr">
        <is>
          <t>&lt; .001</t>
        </is>
      </c>
      <c r="H327" t="inlineStr">
        <is>
          <t>✓</t>
        </is>
      </c>
    </row>
    <row r="328">
      <c r="A328" t="inlineStr">
        <is>
          <t>L_PFop_ROI</t>
        </is>
      </c>
      <c r="B328" t="n">
        <v>-3.87</v>
      </c>
      <c r="C328" t="n">
        <v>821</v>
      </c>
      <c r="D328" t="inlineStr">
        <is>
          <t>&lt; .001</t>
        </is>
      </c>
      <c r="E328" t="n">
        <v>-0.27</v>
      </c>
      <c r="F328" t="inlineStr">
        <is>
          <t>[-0.41, -0.13]</t>
        </is>
      </c>
      <c r="G328" t="inlineStr">
        <is>
          <t>&lt; .001</t>
        </is>
      </c>
      <c r="H328" t="inlineStr">
        <is>
          <t>✓</t>
        </is>
      </c>
    </row>
    <row r="329">
      <c r="A329" t="inlineStr">
        <is>
          <t>L_PF_ROI</t>
        </is>
      </c>
      <c r="B329" t="n">
        <v>-4.85</v>
      </c>
      <c r="C329" t="n">
        <v>821</v>
      </c>
      <c r="D329" t="inlineStr">
        <is>
          <t>&lt; .001</t>
        </is>
      </c>
      <c r="E329" t="n">
        <v>-0.34</v>
      </c>
      <c r="F329" t="inlineStr">
        <is>
          <t>[-0.48, -0.20]</t>
        </is>
      </c>
      <c r="G329" t="inlineStr">
        <is>
          <t>&lt; .001</t>
        </is>
      </c>
      <c r="H329" t="inlineStr">
        <is>
          <t>✓</t>
        </is>
      </c>
    </row>
    <row r="330">
      <c r="A330" t="inlineStr">
        <is>
          <t>L_PFm_ROI</t>
        </is>
      </c>
      <c r="B330" t="n">
        <v>-5.02</v>
      </c>
      <c r="C330" t="n">
        <v>821</v>
      </c>
      <c r="D330" t="inlineStr">
        <is>
          <t>&lt; .001</t>
        </is>
      </c>
      <c r="E330" t="n">
        <v>-0.35</v>
      </c>
      <c r="F330" t="inlineStr">
        <is>
          <t>[-0.49, -0.21]</t>
        </is>
      </c>
      <c r="G330" t="inlineStr">
        <is>
          <t>&lt; .001</t>
        </is>
      </c>
      <c r="H330" t="inlineStr">
        <is>
          <t>✓</t>
        </is>
      </c>
    </row>
    <row r="331">
      <c r="A331" t="inlineStr">
        <is>
          <t>L_PGi_ROI</t>
        </is>
      </c>
      <c r="B331" t="n">
        <v>-4.71</v>
      </c>
      <c r="C331" t="n">
        <v>821</v>
      </c>
      <c r="D331" t="inlineStr">
        <is>
          <t>&lt; .001</t>
        </is>
      </c>
      <c r="E331" t="n">
        <v>-0.33</v>
      </c>
      <c r="F331" t="inlineStr">
        <is>
          <t>[-0.47, -0.19]</t>
        </is>
      </c>
      <c r="G331" t="inlineStr">
        <is>
          <t>&lt; .001</t>
        </is>
      </c>
      <c r="H331" t="inlineStr">
        <is>
          <t>✓</t>
        </is>
      </c>
    </row>
    <row r="332">
      <c r="A332" t="inlineStr">
        <is>
          <t>L_PGs_ROI</t>
        </is>
      </c>
      <c r="B332" t="n">
        <v>-4.96</v>
      </c>
      <c r="C332" t="n">
        <v>821</v>
      </c>
      <c r="D332" t="inlineStr">
        <is>
          <t>&lt; .001</t>
        </is>
      </c>
      <c r="E332" t="n">
        <v>-0.35</v>
      </c>
      <c r="F332" t="inlineStr">
        <is>
          <t>[-0.48, -0.21]</t>
        </is>
      </c>
      <c r="G332" t="inlineStr">
        <is>
          <t>&lt; .001</t>
        </is>
      </c>
      <c r="H332" t="inlineStr">
        <is>
          <t>✓</t>
        </is>
      </c>
    </row>
    <row r="333">
      <c r="A333" t="inlineStr">
        <is>
          <t>L_V6A_ROI</t>
        </is>
      </c>
      <c r="B333" t="n">
        <v>-2.23</v>
      </c>
      <c r="C333" t="n">
        <v>821</v>
      </c>
      <c r="D333">
        <f> 0.026</f>
        <v/>
      </c>
      <c r="E333" t="n">
        <v>-0.16</v>
      </c>
      <c r="F333" t="inlineStr">
        <is>
          <t>[-0.29, -0.02]</t>
        </is>
      </c>
      <c r="G333">
        <f> 0.030</f>
        <v/>
      </c>
      <c r="H333" t="inlineStr">
        <is>
          <t>✓</t>
        </is>
      </c>
    </row>
    <row r="334">
      <c r="A334" t="inlineStr">
        <is>
          <t>L_VMV1_ROI</t>
        </is>
      </c>
      <c r="B334" t="n">
        <v>-4.66</v>
      </c>
      <c r="C334" t="n">
        <v>821</v>
      </c>
      <c r="D334" t="inlineStr">
        <is>
          <t>&lt; .001</t>
        </is>
      </c>
      <c r="E334" t="n">
        <v>-0.33</v>
      </c>
      <c r="F334" t="inlineStr">
        <is>
          <t>[-0.46, -0.19]</t>
        </is>
      </c>
      <c r="G334" t="inlineStr">
        <is>
          <t>&lt; .001</t>
        </is>
      </c>
      <c r="H334" t="inlineStr">
        <is>
          <t>✓</t>
        </is>
      </c>
    </row>
    <row r="335">
      <c r="A335" t="inlineStr">
        <is>
          <t>L_VMV3_ROI</t>
        </is>
      </c>
      <c r="B335" t="n">
        <v>-3.27</v>
      </c>
      <c r="C335" t="n">
        <v>821</v>
      </c>
      <c r="D335">
        <f> 0.001</f>
        <v/>
      </c>
      <c r="E335" t="n">
        <v>-0.23</v>
      </c>
      <c r="F335" t="inlineStr">
        <is>
          <t>[-0.37, -0.09]</t>
        </is>
      </c>
      <c r="G335">
        <f> 0.002</f>
        <v/>
      </c>
      <c r="H335" t="inlineStr">
        <is>
          <t>✓</t>
        </is>
      </c>
    </row>
    <row r="336">
      <c r="A336" t="inlineStr">
        <is>
          <t>L_PHA2_ROI</t>
        </is>
      </c>
      <c r="B336" t="n">
        <v>-4.39</v>
      </c>
      <c r="C336" t="n">
        <v>821</v>
      </c>
      <c r="D336" t="inlineStr">
        <is>
          <t>&lt; .001</t>
        </is>
      </c>
      <c r="E336" t="n">
        <v>-0.31</v>
      </c>
      <c r="F336" t="inlineStr">
        <is>
          <t>[-0.44, -0.17]</t>
        </is>
      </c>
      <c r="G336" t="inlineStr">
        <is>
          <t>&lt; .001</t>
        </is>
      </c>
      <c r="H336" t="inlineStr">
        <is>
          <t>✓</t>
        </is>
      </c>
    </row>
    <row r="337">
      <c r="A337" t="inlineStr">
        <is>
          <t>L_V4t_ROI</t>
        </is>
      </c>
      <c r="B337" t="n">
        <v>-3.82</v>
      </c>
      <c r="C337" t="n">
        <v>821</v>
      </c>
      <c r="D337" t="inlineStr">
        <is>
          <t>&lt; .001</t>
        </is>
      </c>
      <c r="E337" t="n">
        <v>-0.27</v>
      </c>
      <c r="F337" t="inlineStr">
        <is>
          <t>[-0.40, -0.13]</t>
        </is>
      </c>
      <c r="G337" t="inlineStr">
        <is>
          <t>&lt; .001</t>
        </is>
      </c>
      <c r="H337" t="inlineStr">
        <is>
          <t>✓</t>
        </is>
      </c>
    </row>
    <row r="338">
      <c r="A338" t="inlineStr">
        <is>
          <t>L_FST_ROI</t>
        </is>
      </c>
      <c r="B338" t="n">
        <v>-3.41</v>
      </c>
      <c r="C338" t="n">
        <v>821</v>
      </c>
      <c r="D338" t="inlineStr">
        <is>
          <t>&lt; .001</t>
        </is>
      </c>
      <c r="E338" t="n">
        <v>-0.24</v>
      </c>
      <c r="F338" t="inlineStr">
        <is>
          <t>[-0.38, -0.10]</t>
        </is>
      </c>
      <c r="G338">
        <f> 0.001</f>
        <v/>
      </c>
      <c r="H338" t="inlineStr">
        <is>
          <t>✓</t>
        </is>
      </c>
    </row>
    <row r="339">
      <c r="A339" t="inlineStr">
        <is>
          <t>L_V3CD_ROI</t>
        </is>
      </c>
      <c r="B339" t="n">
        <v>-3.97</v>
      </c>
      <c r="C339" t="n">
        <v>821</v>
      </c>
      <c r="D339" t="inlineStr">
        <is>
          <t>&lt; .001</t>
        </is>
      </c>
      <c r="E339" t="n">
        <v>-0.28</v>
      </c>
      <c r="F339" t="inlineStr">
        <is>
          <t>[-0.41, -0.14]</t>
        </is>
      </c>
      <c r="G339" t="inlineStr">
        <is>
          <t>&lt; .001</t>
        </is>
      </c>
      <c r="H339" t="inlineStr">
        <is>
          <t>✓</t>
        </is>
      </c>
    </row>
    <row r="340">
      <c r="A340" t="inlineStr">
        <is>
          <t>L_LO3_ROI</t>
        </is>
      </c>
      <c r="B340" t="n">
        <v>-2.91</v>
      </c>
      <c r="C340" t="n">
        <v>821</v>
      </c>
      <c r="D340">
        <f> 0.004</f>
        <v/>
      </c>
      <c r="E340" t="n">
        <v>-0.2</v>
      </c>
      <c r="F340" t="inlineStr">
        <is>
          <t>[-0.34, -0.07]</t>
        </is>
      </c>
      <c r="G340">
        <f> 0.005</f>
        <v/>
      </c>
      <c r="H340" t="inlineStr">
        <is>
          <t>✓</t>
        </is>
      </c>
    </row>
    <row r="341">
      <c r="A341" t="inlineStr">
        <is>
          <t>L_VMV2_ROI</t>
        </is>
      </c>
      <c r="B341" t="n">
        <v>-5.06</v>
      </c>
      <c r="C341" t="n">
        <v>821</v>
      </c>
      <c r="D341" t="inlineStr">
        <is>
          <t>&lt; .001</t>
        </is>
      </c>
      <c r="E341" t="n">
        <v>-0.35</v>
      </c>
      <c r="F341" t="inlineStr">
        <is>
          <t>[-0.49, -0.21]</t>
        </is>
      </c>
      <c r="G341" t="inlineStr">
        <is>
          <t>&lt; .001</t>
        </is>
      </c>
      <c r="H341" t="inlineStr">
        <is>
          <t>✓</t>
        </is>
      </c>
    </row>
    <row r="342">
      <c r="A342" t="inlineStr">
        <is>
          <t>L_31pd_ROI</t>
        </is>
      </c>
      <c r="B342" t="n">
        <v>-3.71</v>
      </c>
      <c r="C342" t="n">
        <v>821</v>
      </c>
      <c r="D342" t="inlineStr">
        <is>
          <t>&lt; .001</t>
        </is>
      </c>
      <c r="E342" t="n">
        <v>-0.26</v>
      </c>
      <c r="F342" t="inlineStr">
        <is>
          <t>[-0.40, -0.12]</t>
        </is>
      </c>
      <c r="G342" t="inlineStr">
        <is>
          <t>&lt; .001</t>
        </is>
      </c>
      <c r="H342" t="inlineStr">
        <is>
          <t>✓</t>
        </is>
      </c>
    </row>
    <row r="343">
      <c r="A343" t="inlineStr">
        <is>
          <t>L_31a_ROI</t>
        </is>
      </c>
      <c r="B343" t="n">
        <v>-3.25</v>
      </c>
      <c r="C343" t="n">
        <v>821</v>
      </c>
      <c r="D343">
        <f> 0.001</f>
        <v/>
      </c>
      <c r="E343" t="n">
        <v>-0.23</v>
      </c>
      <c r="F343" t="inlineStr">
        <is>
          <t>[-0.36, -0.09]</t>
        </is>
      </c>
      <c r="G343">
        <f> 0.002</f>
        <v/>
      </c>
      <c r="H343" t="inlineStr">
        <is>
          <t>✓</t>
        </is>
      </c>
    </row>
    <row r="344">
      <c r="A344" t="inlineStr">
        <is>
          <t>L_VVC_ROI</t>
        </is>
      </c>
      <c r="B344" t="n">
        <v>-1.64</v>
      </c>
      <c r="C344" t="n">
        <v>821</v>
      </c>
      <c r="D344">
        <f> 0.102</f>
        <v/>
      </c>
      <c r="E344" t="n">
        <v>-0.11</v>
      </c>
      <c r="F344" t="inlineStr">
        <is>
          <t>[-0.25, 0.02]</t>
        </is>
      </c>
      <c r="G344">
        <f> 0.108</f>
        <v/>
      </c>
      <c r="H344" t="inlineStr"/>
    </row>
    <row r="345">
      <c r="A345" t="inlineStr">
        <is>
          <t>L_25_ROI</t>
        </is>
      </c>
      <c r="B345" t="n">
        <v>-2.87</v>
      </c>
      <c r="C345" t="n">
        <v>821</v>
      </c>
      <c r="D345">
        <f> 0.004</f>
        <v/>
      </c>
      <c r="E345" t="n">
        <v>-0.2</v>
      </c>
      <c r="F345" t="inlineStr">
        <is>
          <t>[-0.34, -0.06]</t>
        </is>
      </c>
      <c r="G345">
        <f> 0.006</f>
        <v/>
      </c>
      <c r="H345" t="inlineStr">
        <is>
          <t>✓</t>
        </is>
      </c>
    </row>
    <row r="346">
      <c r="A346" t="inlineStr">
        <is>
          <t>L_s32_ROI</t>
        </is>
      </c>
      <c r="B346" t="n">
        <v>-0.64</v>
      </c>
      <c r="C346" t="n">
        <v>821</v>
      </c>
      <c r="D346">
        <f> 0.524</f>
        <v/>
      </c>
      <c r="E346" t="n">
        <v>-0.04</v>
      </c>
      <c r="F346" t="inlineStr">
        <is>
          <t>[-0.18, 0.09]</t>
        </is>
      </c>
      <c r="G346">
        <f> 0.524</f>
        <v/>
      </c>
      <c r="H346" t="inlineStr"/>
    </row>
    <row r="347">
      <c r="A347" t="inlineStr">
        <is>
          <t>L_pOFC_ROI</t>
        </is>
      </c>
      <c r="B347" t="n">
        <v>-4.14</v>
      </c>
      <c r="C347" t="n">
        <v>821</v>
      </c>
      <c r="D347" t="inlineStr">
        <is>
          <t>&lt; .001</t>
        </is>
      </c>
      <c r="E347" t="n">
        <v>-0.29</v>
      </c>
      <c r="F347" t="inlineStr">
        <is>
          <t>[-0.43, -0.15]</t>
        </is>
      </c>
      <c r="G347" t="inlineStr">
        <is>
          <t>&lt; .001</t>
        </is>
      </c>
      <c r="H347" t="inlineStr">
        <is>
          <t>✓</t>
        </is>
      </c>
    </row>
    <row r="348">
      <c r="A348" t="inlineStr">
        <is>
          <t>L_PoI1_ROI</t>
        </is>
      </c>
      <c r="B348" t="n">
        <v>-1.72</v>
      </c>
      <c r="C348" t="n">
        <v>821</v>
      </c>
      <c r="D348">
        <f> 0.086</f>
        <v/>
      </c>
      <c r="E348" t="n">
        <v>-0.12</v>
      </c>
      <c r="F348" t="inlineStr">
        <is>
          <t>[-0.26, 0.02]</t>
        </is>
      </c>
      <c r="G348">
        <f> 0.093</f>
        <v/>
      </c>
      <c r="H348" t="inlineStr"/>
    </row>
    <row r="349">
      <c r="A349" t="inlineStr">
        <is>
          <t>L_Ig_ROI</t>
        </is>
      </c>
      <c r="B349" t="n">
        <v>-3.57</v>
      </c>
      <c r="C349" t="n">
        <v>821</v>
      </c>
      <c r="D349" t="inlineStr">
        <is>
          <t>&lt; .001</t>
        </is>
      </c>
      <c r="E349" t="n">
        <v>-0.25</v>
      </c>
      <c r="F349" t="inlineStr">
        <is>
          <t>[-0.39, -0.11]</t>
        </is>
      </c>
      <c r="G349" t="inlineStr">
        <is>
          <t>&lt; .001</t>
        </is>
      </c>
      <c r="H349" t="inlineStr">
        <is>
          <t>✓</t>
        </is>
      </c>
    </row>
    <row r="350">
      <c r="A350" t="inlineStr">
        <is>
          <t>L_FOP5_ROI</t>
        </is>
      </c>
      <c r="B350" t="n">
        <v>-3.71</v>
      </c>
      <c r="C350" t="n">
        <v>821</v>
      </c>
      <c r="D350" t="inlineStr">
        <is>
          <t>&lt; .001</t>
        </is>
      </c>
      <c r="E350" t="n">
        <v>-0.26</v>
      </c>
      <c r="F350" t="inlineStr">
        <is>
          <t>[-0.40, -0.12]</t>
        </is>
      </c>
      <c r="G350" t="inlineStr">
        <is>
          <t>&lt; .001</t>
        </is>
      </c>
      <c r="H350" t="inlineStr">
        <is>
          <t>✓</t>
        </is>
      </c>
    </row>
    <row r="351">
      <c r="A351" t="inlineStr">
        <is>
          <t>L_p10p_ROI</t>
        </is>
      </c>
      <c r="B351" t="n">
        <v>-2.18</v>
      </c>
      <c r="C351" t="n">
        <v>821</v>
      </c>
      <c r="D351">
        <f> 0.029</f>
        <v/>
      </c>
      <c r="E351" t="n">
        <v>-0.15</v>
      </c>
      <c r="F351" t="inlineStr">
        <is>
          <t>[-0.29, -0.02]</t>
        </is>
      </c>
      <c r="G351">
        <f> 0.033</f>
        <v/>
      </c>
      <c r="H351" t="inlineStr">
        <is>
          <t>✓</t>
        </is>
      </c>
    </row>
    <row r="352">
      <c r="A352" t="inlineStr">
        <is>
          <t>L_p47r_ROI</t>
        </is>
      </c>
      <c r="B352" t="n">
        <v>-2.05</v>
      </c>
      <c r="C352" t="n">
        <v>821</v>
      </c>
      <c r="D352">
        <f> 0.040</f>
        <v/>
      </c>
      <c r="E352" t="n">
        <v>-0.14</v>
      </c>
      <c r="F352" t="inlineStr">
        <is>
          <t>[-0.28, -0.01]</t>
        </is>
      </c>
      <c r="G352">
        <f> 0.044</f>
        <v/>
      </c>
      <c r="H352" t="inlineStr">
        <is>
          <t>✓</t>
        </is>
      </c>
    </row>
    <row r="353">
      <c r="A353" t="inlineStr">
        <is>
          <t>L_TGv_ROI</t>
        </is>
      </c>
      <c r="B353" t="n">
        <v>-2.12</v>
      </c>
      <c r="C353" t="n">
        <v>821</v>
      </c>
      <c r="D353">
        <f> 0.034</f>
        <v/>
      </c>
      <c r="E353" t="n">
        <v>-0.15</v>
      </c>
      <c r="F353" t="inlineStr">
        <is>
          <t>[-0.28, -0.01]</t>
        </is>
      </c>
      <c r="G353">
        <f> 0.038</f>
        <v/>
      </c>
      <c r="H353" t="inlineStr">
        <is>
          <t>✓</t>
        </is>
      </c>
    </row>
    <row r="354">
      <c r="A354" t="inlineStr">
        <is>
          <t>L_MBelt_ROI</t>
        </is>
      </c>
      <c r="B354" t="n">
        <v>-2.91</v>
      </c>
      <c r="C354" t="n">
        <v>821</v>
      </c>
      <c r="D354">
        <f> 0.004</f>
        <v/>
      </c>
      <c r="E354" t="n">
        <v>-0.2</v>
      </c>
      <c r="F354" t="inlineStr">
        <is>
          <t>[-0.34, -0.07]</t>
        </is>
      </c>
      <c r="G354">
        <f> 0.005</f>
        <v/>
      </c>
      <c r="H354" t="inlineStr">
        <is>
          <t>✓</t>
        </is>
      </c>
    </row>
    <row r="355">
      <c r="A355" t="inlineStr">
        <is>
          <t>L_LBelt_ROI</t>
        </is>
      </c>
      <c r="B355" t="n">
        <v>-4.91</v>
      </c>
      <c r="C355" t="n">
        <v>821</v>
      </c>
      <c r="D355" t="inlineStr">
        <is>
          <t>&lt; .001</t>
        </is>
      </c>
      <c r="E355" t="n">
        <v>-0.34</v>
      </c>
      <c r="F355" t="inlineStr">
        <is>
          <t>[-0.48, -0.20]</t>
        </is>
      </c>
      <c r="G355" t="inlineStr">
        <is>
          <t>&lt; .001</t>
        </is>
      </c>
      <c r="H355" t="inlineStr">
        <is>
          <t>✓</t>
        </is>
      </c>
    </row>
    <row r="356">
      <c r="A356" t="inlineStr">
        <is>
          <t>L_A4_ROI</t>
        </is>
      </c>
      <c r="B356" t="n">
        <v>-4.05</v>
      </c>
      <c r="C356" t="n">
        <v>821</v>
      </c>
      <c r="D356" t="inlineStr">
        <is>
          <t>&lt; .001</t>
        </is>
      </c>
      <c r="E356" t="n">
        <v>-0.28</v>
      </c>
      <c r="F356" t="inlineStr">
        <is>
          <t>[-0.42, -0.14]</t>
        </is>
      </c>
      <c r="G356" t="inlineStr">
        <is>
          <t>&lt; .001</t>
        </is>
      </c>
      <c r="H356" t="inlineStr">
        <is>
          <t>✓</t>
        </is>
      </c>
    </row>
    <row r="357">
      <c r="A357" t="inlineStr">
        <is>
          <t>L_STSva_ROI</t>
        </is>
      </c>
      <c r="B357" t="n">
        <v>-1.26</v>
      </c>
      <c r="C357" t="n">
        <v>821</v>
      </c>
      <c r="D357">
        <f> 0.207</f>
        <v/>
      </c>
      <c r="E357" t="n">
        <v>-0.09</v>
      </c>
      <c r="F357" t="inlineStr">
        <is>
          <t>[-0.22, 0.05]</t>
        </is>
      </c>
      <c r="G357">
        <f> 0.216</f>
        <v/>
      </c>
      <c r="H357" t="inlineStr"/>
    </row>
    <row r="358">
      <c r="A358" t="inlineStr">
        <is>
          <t>L_TE1m_ROI</t>
        </is>
      </c>
      <c r="B358" t="n">
        <v>-2.21</v>
      </c>
      <c r="C358" t="n">
        <v>821</v>
      </c>
      <c r="D358">
        <f> 0.027</f>
        <v/>
      </c>
      <c r="E358" t="n">
        <v>-0.15</v>
      </c>
      <c r="F358" t="inlineStr">
        <is>
          <t>[-0.29, -0.02]</t>
        </is>
      </c>
      <c r="G358">
        <f> 0.031</f>
        <v/>
      </c>
      <c r="H358" t="inlineStr">
        <is>
          <t>✓</t>
        </is>
      </c>
    </row>
    <row r="359">
      <c r="A359" t="inlineStr">
        <is>
          <t>L_PI_ROI</t>
        </is>
      </c>
      <c r="B359" t="n">
        <v>-2.54</v>
      </c>
      <c r="C359" t="n">
        <v>821</v>
      </c>
      <c r="D359">
        <f> 0.011</f>
        <v/>
      </c>
      <c r="E359" t="n">
        <v>-0.18</v>
      </c>
      <c r="F359" t="inlineStr">
        <is>
          <t>[-0.31, -0.04]</t>
        </is>
      </c>
      <c r="G359">
        <f> 0.014</f>
        <v/>
      </c>
      <c r="H359" t="inlineStr">
        <is>
          <t>✓</t>
        </is>
      </c>
    </row>
    <row r="360">
      <c r="A360" t="inlineStr">
        <is>
          <t>L_a32pr_ROI</t>
        </is>
      </c>
      <c r="B360" t="n">
        <v>-4.23</v>
      </c>
      <c r="C360" t="n">
        <v>821</v>
      </c>
      <c r="D360" t="inlineStr">
        <is>
          <t>&lt; .001</t>
        </is>
      </c>
      <c r="E360" t="n">
        <v>-0.3</v>
      </c>
      <c r="F360" t="inlineStr">
        <is>
          <t>[-0.43, -0.16]</t>
        </is>
      </c>
      <c r="G360" t="inlineStr">
        <is>
          <t>&lt; .001</t>
        </is>
      </c>
      <c r="H360" t="inlineStr">
        <is>
          <t>✓</t>
        </is>
      </c>
    </row>
    <row r="361">
      <c r="A361" t="inlineStr">
        <is>
          <t>L_p24_ROI</t>
        </is>
      </c>
      <c r="B361" t="n">
        <v>-1.71</v>
      </c>
      <c r="C361" t="n">
        <v>821</v>
      </c>
      <c r="D361">
        <f> 0.088</f>
        <v/>
      </c>
      <c r="E361" t="n">
        <v>-0.12</v>
      </c>
      <c r="F361" t="inlineStr">
        <is>
          <t>[-0.26, 0.02]</t>
        </is>
      </c>
      <c r="G361">
        <f> 0.094</f>
        <v/>
      </c>
      <c r="H36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t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95% CI [d]</t>
        </is>
      </c>
      <c r="G1" s="1" t="inlineStr">
        <is>
          <t>p_FDR</t>
        </is>
      </c>
      <c r="H1" s="1" t="inlineStr">
        <is>
          <t>FDR sig.</t>
        </is>
      </c>
    </row>
    <row r="2">
      <c r="A2" t="inlineStr">
        <is>
          <t>R_V1_ROI</t>
        </is>
      </c>
      <c r="B2" t="n">
        <v>-5.38</v>
      </c>
      <c r="C2" t="n">
        <v>821</v>
      </c>
      <c r="D2" t="inlineStr">
        <is>
          <t>&lt; .001</t>
        </is>
      </c>
      <c r="E2" t="n">
        <v>-0.38</v>
      </c>
      <c r="F2" t="inlineStr">
        <is>
          <t>[-0.51, -0.24]</t>
        </is>
      </c>
      <c r="G2" t="inlineStr">
        <is>
          <t>&lt; .001</t>
        </is>
      </c>
      <c r="H2" t="inlineStr">
        <is>
          <t>✓</t>
        </is>
      </c>
    </row>
    <row r="3">
      <c r="A3" t="inlineStr">
        <is>
          <t>R_MST_ROI</t>
        </is>
      </c>
      <c r="B3" t="n">
        <v>-4.11</v>
      </c>
      <c r="C3" t="n">
        <v>821</v>
      </c>
      <c r="D3" t="inlineStr">
        <is>
          <t>&lt; .001</t>
        </is>
      </c>
      <c r="E3" t="n">
        <v>-0.29</v>
      </c>
      <c r="F3" t="inlineStr">
        <is>
          <t>[-0.42, -0.15]</t>
        </is>
      </c>
      <c r="G3" t="inlineStr">
        <is>
          <t>&lt; .001</t>
        </is>
      </c>
      <c r="H3" t="inlineStr">
        <is>
          <t>✓</t>
        </is>
      </c>
    </row>
    <row r="4">
      <c r="A4" t="inlineStr">
        <is>
          <t>R_V6_ROI</t>
        </is>
      </c>
      <c r="B4" t="n">
        <v>-3.71</v>
      </c>
      <c r="C4" t="n">
        <v>821</v>
      </c>
      <c r="D4" t="inlineStr">
        <is>
          <t>&lt; .001</t>
        </is>
      </c>
      <c r="E4" t="n">
        <v>-0.26</v>
      </c>
      <c r="F4" t="inlineStr">
        <is>
          <t>[-0.40, -0.12]</t>
        </is>
      </c>
      <c r="G4" t="inlineStr">
        <is>
          <t>&lt; .001</t>
        </is>
      </c>
      <c r="H4" t="inlineStr">
        <is>
          <t>✓</t>
        </is>
      </c>
    </row>
    <row r="5">
      <c r="A5" t="inlineStr">
        <is>
          <t>R_V2_ROI</t>
        </is>
      </c>
      <c r="B5" t="n">
        <v>-5.57</v>
      </c>
      <c r="C5" t="n">
        <v>821</v>
      </c>
      <c r="D5" t="inlineStr">
        <is>
          <t>&lt; .001</t>
        </is>
      </c>
      <c r="E5" t="n">
        <v>-0.39</v>
      </c>
      <c r="F5" t="inlineStr">
        <is>
          <t>[-0.53, -0.25]</t>
        </is>
      </c>
      <c r="G5" t="inlineStr">
        <is>
          <t>&lt; .001</t>
        </is>
      </c>
      <c r="H5" t="inlineStr">
        <is>
          <t>✓</t>
        </is>
      </c>
    </row>
    <row r="6">
      <c r="A6" t="inlineStr">
        <is>
          <t>R_V3_ROI</t>
        </is>
      </c>
      <c r="B6" t="n">
        <v>-4.7</v>
      </c>
      <c r="C6" t="n">
        <v>821</v>
      </c>
      <c r="D6" t="inlineStr">
        <is>
          <t>&lt; .001</t>
        </is>
      </c>
      <c r="E6" t="n">
        <v>-0.33</v>
      </c>
      <c r="F6" t="inlineStr">
        <is>
          <t>[-0.47, -0.19]</t>
        </is>
      </c>
      <c r="G6" t="inlineStr">
        <is>
          <t>&lt; .001</t>
        </is>
      </c>
      <c r="H6" t="inlineStr">
        <is>
          <t>✓</t>
        </is>
      </c>
    </row>
    <row r="7">
      <c r="A7" t="inlineStr">
        <is>
          <t>R_V4_ROI</t>
        </is>
      </c>
      <c r="B7" t="n">
        <v>-4.69</v>
      </c>
      <c r="C7" t="n">
        <v>821</v>
      </c>
      <c r="D7" t="inlineStr">
        <is>
          <t>&lt; .001</t>
        </is>
      </c>
      <c r="E7" t="n">
        <v>-0.33</v>
      </c>
      <c r="F7" t="inlineStr">
        <is>
          <t>[-0.46, -0.19]</t>
        </is>
      </c>
      <c r="G7" t="inlineStr">
        <is>
          <t>&lt; .001</t>
        </is>
      </c>
      <c r="H7" t="inlineStr">
        <is>
          <t>✓</t>
        </is>
      </c>
    </row>
    <row r="8">
      <c r="A8" t="inlineStr">
        <is>
          <t>R_V8_ROI</t>
        </is>
      </c>
      <c r="B8" t="n">
        <v>-2.73</v>
      </c>
      <c r="C8" t="n">
        <v>821</v>
      </c>
      <c r="D8">
        <f> 0.007</f>
        <v/>
      </c>
      <c r="E8" t="n">
        <v>-0.19</v>
      </c>
      <c r="F8" t="inlineStr">
        <is>
          <t>[-0.33, -0.05]</t>
        </is>
      </c>
      <c r="G8">
        <f> 0.008</f>
        <v/>
      </c>
      <c r="H8" t="inlineStr">
        <is>
          <t>✓</t>
        </is>
      </c>
    </row>
    <row r="9">
      <c r="A9" t="inlineStr">
        <is>
          <t>R_4_ROI</t>
        </is>
      </c>
      <c r="B9" t="n">
        <v>-5.31</v>
      </c>
      <c r="C9" t="n">
        <v>821</v>
      </c>
      <c r="D9" t="inlineStr">
        <is>
          <t>&lt; .001</t>
        </is>
      </c>
      <c r="E9" t="n">
        <v>-0.37</v>
      </c>
      <c r="F9" t="inlineStr">
        <is>
          <t>[-0.51, -0.23]</t>
        </is>
      </c>
      <c r="G9" t="inlineStr">
        <is>
          <t>&lt; .001</t>
        </is>
      </c>
      <c r="H9" t="inlineStr">
        <is>
          <t>✓</t>
        </is>
      </c>
    </row>
    <row r="10">
      <c r="A10" t="inlineStr">
        <is>
          <t>R_3b_ROI</t>
        </is>
      </c>
      <c r="B10" t="n">
        <v>-5.15</v>
      </c>
      <c r="C10" t="n">
        <v>821</v>
      </c>
      <c r="D10" t="inlineStr">
        <is>
          <t>&lt; .001</t>
        </is>
      </c>
      <c r="E10" t="n">
        <v>-0.36</v>
      </c>
      <c r="F10" t="inlineStr">
        <is>
          <t>[-0.50, -0.22]</t>
        </is>
      </c>
      <c r="G10" t="inlineStr">
        <is>
          <t>&lt; .001</t>
        </is>
      </c>
      <c r="H10" t="inlineStr">
        <is>
          <t>✓</t>
        </is>
      </c>
    </row>
    <row r="11">
      <c r="A11" t="inlineStr">
        <is>
          <t>R_FEF_ROI</t>
        </is>
      </c>
      <c r="B11" t="n">
        <v>-4.76</v>
      </c>
      <c r="C11" t="n">
        <v>821</v>
      </c>
      <c r="D11" t="inlineStr">
        <is>
          <t>&lt; .001</t>
        </is>
      </c>
      <c r="E11" t="n">
        <v>-0.33</v>
      </c>
      <c r="F11" t="inlineStr">
        <is>
          <t>[-0.47, -0.19]</t>
        </is>
      </c>
      <c r="G11" t="inlineStr">
        <is>
          <t>&lt; .001</t>
        </is>
      </c>
      <c r="H11" t="inlineStr">
        <is>
          <t>✓</t>
        </is>
      </c>
    </row>
    <row r="12">
      <c r="A12" t="inlineStr">
        <is>
          <t>R_PEF_ROI</t>
        </is>
      </c>
      <c r="B12" t="n">
        <v>-3.75</v>
      </c>
      <c r="C12" t="n">
        <v>821</v>
      </c>
      <c r="D12" t="inlineStr">
        <is>
          <t>&lt; .001</t>
        </is>
      </c>
      <c r="E12" t="n">
        <v>-0.26</v>
      </c>
      <c r="F12" t="inlineStr">
        <is>
          <t>[-0.40, -0.12]</t>
        </is>
      </c>
      <c r="G12" t="inlineStr">
        <is>
          <t>&lt; .001</t>
        </is>
      </c>
      <c r="H12" t="inlineStr">
        <is>
          <t>✓</t>
        </is>
      </c>
    </row>
    <row r="13">
      <c r="A13" t="inlineStr">
        <is>
          <t>R_55b_ROI</t>
        </is>
      </c>
      <c r="B13" t="n">
        <v>-5.6</v>
      </c>
      <c r="C13" t="n">
        <v>821</v>
      </c>
      <c r="D13" t="inlineStr">
        <is>
          <t>&lt; .001</t>
        </is>
      </c>
      <c r="E13" t="n">
        <v>-0.39</v>
      </c>
      <c r="F13" t="inlineStr">
        <is>
          <t>[-0.53, -0.25]</t>
        </is>
      </c>
      <c r="G13" t="inlineStr">
        <is>
          <t>&lt; .001</t>
        </is>
      </c>
      <c r="H13" t="inlineStr">
        <is>
          <t>✓</t>
        </is>
      </c>
    </row>
    <row r="14">
      <c r="A14" t="inlineStr">
        <is>
          <t>R_V3A_ROI</t>
        </is>
      </c>
      <c r="B14" t="n">
        <v>-3.4</v>
      </c>
      <c r="C14" t="n">
        <v>821</v>
      </c>
      <c r="D14" t="inlineStr">
        <is>
          <t>&lt; .001</t>
        </is>
      </c>
      <c r="E14" t="n">
        <v>-0.24</v>
      </c>
      <c r="F14" t="inlineStr">
        <is>
          <t>[-0.37, -0.10]</t>
        </is>
      </c>
      <c r="G14">
        <f> 0.001</f>
        <v/>
      </c>
      <c r="H14" t="inlineStr">
        <is>
          <t>✓</t>
        </is>
      </c>
    </row>
    <row r="15">
      <c r="A15" t="inlineStr">
        <is>
          <t>R_RSC_ROI</t>
        </is>
      </c>
      <c r="B15" t="n">
        <v>-2.92</v>
      </c>
      <c r="C15" t="n">
        <v>821</v>
      </c>
      <c r="D15">
        <f> 0.004</f>
        <v/>
      </c>
      <c r="E15" t="n">
        <v>-0.2</v>
      </c>
      <c r="F15" t="inlineStr">
        <is>
          <t>[-0.34, -0.07]</t>
        </is>
      </c>
      <c r="G15">
        <f> 0.005</f>
        <v/>
      </c>
      <c r="H15" t="inlineStr">
        <is>
          <t>✓</t>
        </is>
      </c>
    </row>
    <row r="16">
      <c r="A16" t="inlineStr">
        <is>
          <t>R_POS2_ROI</t>
        </is>
      </c>
      <c r="B16" t="n">
        <v>-3.48</v>
      </c>
      <c r="C16" t="n">
        <v>821</v>
      </c>
      <c r="D16" t="inlineStr">
        <is>
          <t>&lt; .001</t>
        </is>
      </c>
      <c r="E16" t="n">
        <v>-0.24</v>
      </c>
      <c r="F16" t="inlineStr">
        <is>
          <t>[-0.38, -0.11]</t>
        </is>
      </c>
      <c r="G16" t="inlineStr">
        <is>
          <t>&lt; .001</t>
        </is>
      </c>
      <c r="H16" t="inlineStr">
        <is>
          <t>✓</t>
        </is>
      </c>
    </row>
    <row r="17">
      <c r="A17" t="inlineStr">
        <is>
          <t>R_V7_ROI</t>
        </is>
      </c>
      <c r="B17" t="n">
        <v>-2.55</v>
      </c>
      <c r="C17" t="n">
        <v>821</v>
      </c>
      <c r="D17">
        <f> 0.011</f>
        <v/>
      </c>
      <c r="E17" t="n">
        <v>-0.18</v>
      </c>
      <c r="F17" t="inlineStr">
        <is>
          <t>[-0.31, -0.04]</t>
        </is>
      </c>
      <c r="G17">
        <f> 0.014</f>
        <v/>
      </c>
      <c r="H17" t="inlineStr">
        <is>
          <t>✓</t>
        </is>
      </c>
    </row>
    <row r="18">
      <c r="A18" t="inlineStr">
        <is>
          <t>R_IPS1_ROI</t>
        </is>
      </c>
      <c r="B18" t="n">
        <v>-3.18</v>
      </c>
      <c r="C18" t="n">
        <v>821</v>
      </c>
      <c r="D18">
        <f> 0.002</f>
        <v/>
      </c>
      <c r="E18" t="n">
        <v>-0.22</v>
      </c>
      <c r="F18" t="inlineStr">
        <is>
          <t>[-0.36, -0.08]</t>
        </is>
      </c>
      <c r="G18">
        <f> 0.002</f>
        <v/>
      </c>
      <c r="H18" t="inlineStr">
        <is>
          <t>✓</t>
        </is>
      </c>
    </row>
    <row r="19">
      <c r="A19" t="inlineStr">
        <is>
          <t>R_FFC_ROI</t>
        </is>
      </c>
      <c r="B19" t="n">
        <v>-4.01</v>
      </c>
      <c r="C19" t="n">
        <v>821</v>
      </c>
      <c r="D19" t="inlineStr">
        <is>
          <t>&lt; .001</t>
        </is>
      </c>
      <c r="E19" t="n">
        <v>-0.28</v>
      </c>
      <c r="F19" t="inlineStr">
        <is>
          <t>[-0.42, -0.14]</t>
        </is>
      </c>
      <c r="G19" t="inlineStr">
        <is>
          <t>&lt; .001</t>
        </is>
      </c>
      <c r="H19" t="inlineStr">
        <is>
          <t>✓</t>
        </is>
      </c>
    </row>
    <row r="20">
      <c r="A20" t="inlineStr">
        <is>
          <t>R_V3B_ROI</t>
        </is>
      </c>
      <c r="B20" t="n">
        <v>-3.46</v>
      </c>
      <c r="C20" t="n">
        <v>821</v>
      </c>
      <c r="D20" t="inlineStr">
        <is>
          <t>&lt; .001</t>
        </is>
      </c>
      <c r="E20" t="n">
        <v>-0.24</v>
      </c>
      <c r="F20" t="inlineStr">
        <is>
          <t>[-0.38, -0.10]</t>
        </is>
      </c>
      <c r="G20" t="inlineStr">
        <is>
          <t>&lt; .001</t>
        </is>
      </c>
      <c r="H20" t="inlineStr">
        <is>
          <t>✓</t>
        </is>
      </c>
    </row>
    <row r="21">
      <c r="A21" t="inlineStr">
        <is>
          <t>R_LO1_ROI</t>
        </is>
      </c>
      <c r="B21" t="n">
        <v>-3.95</v>
      </c>
      <c r="C21" t="n">
        <v>821</v>
      </c>
      <c r="D21" t="inlineStr">
        <is>
          <t>&lt; .001</t>
        </is>
      </c>
      <c r="E21" t="n">
        <v>-0.28</v>
      </c>
      <c r="F21" t="inlineStr">
        <is>
          <t>[-0.41, -0.14]</t>
        </is>
      </c>
      <c r="G21" t="inlineStr">
        <is>
          <t>&lt; .001</t>
        </is>
      </c>
      <c r="H21" t="inlineStr">
        <is>
          <t>✓</t>
        </is>
      </c>
    </row>
    <row r="22">
      <c r="A22" t="inlineStr">
        <is>
          <t>R_LO2_ROI</t>
        </is>
      </c>
      <c r="B22" t="n">
        <v>-3.7</v>
      </c>
      <c r="C22" t="n">
        <v>821</v>
      </c>
      <c r="D22" t="inlineStr">
        <is>
          <t>&lt; .001</t>
        </is>
      </c>
      <c r="E22" t="n">
        <v>-0.26</v>
      </c>
      <c r="F22" t="inlineStr">
        <is>
          <t>[-0.39, -0.12]</t>
        </is>
      </c>
      <c r="G22" t="inlineStr">
        <is>
          <t>&lt; .001</t>
        </is>
      </c>
      <c r="H22" t="inlineStr">
        <is>
          <t>✓</t>
        </is>
      </c>
    </row>
    <row r="23">
      <c r="A23" t="inlineStr">
        <is>
          <t>R_PIT_ROI</t>
        </is>
      </c>
      <c r="B23" t="n">
        <v>-3.56</v>
      </c>
      <c r="C23" t="n">
        <v>821</v>
      </c>
      <c r="D23" t="inlineStr">
        <is>
          <t>&lt; .001</t>
        </is>
      </c>
      <c r="E23" t="n">
        <v>-0.25</v>
      </c>
      <c r="F23" t="inlineStr">
        <is>
          <t>[-0.39, -0.11]</t>
        </is>
      </c>
      <c r="G23" t="inlineStr">
        <is>
          <t>&lt; .001</t>
        </is>
      </c>
      <c r="H23" t="inlineStr">
        <is>
          <t>✓</t>
        </is>
      </c>
    </row>
    <row r="24">
      <c r="A24" t="inlineStr">
        <is>
          <t>R_MT_ROI</t>
        </is>
      </c>
      <c r="B24" t="n">
        <v>-3.27</v>
      </c>
      <c r="C24" t="n">
        <v>821</v>
      </c>
      <c r="D24">
        <f> 0.001</f>
        <v/>
      </c>
      <c r="E24" t="n">
        <v>-0.23</v>
      </c>
      <c r="F24" t="inlineStr">
        <is>
          <t>[-0.37, -0.09]</t>
        </is>
      </c>
      <c r="G24">
        <f> 0.002</f>
        <v/>
      </c>
      <c r="H24" t="inlineStr">
        <is>
          <t>✓</t>
        </is>
      </c>
    </row>
    <row r="25">
      <c r="A25" t="inlineStr">
        <is>
          <t>R_A1_ROI</t>
        </is>
      </c>
      <c r="B25" t="n">
        <v>-5.57</v>
      </c>
      <c r="C25" t="n">
        <v>821</v>
      </c>
      <c r="D25" t="inlineStr">
        <is>
          <t>&lt; .001</t>
        </is>
      </c>
      <c r="E25" t="n">
        <v>-0.39</v>
      </c>
      <c r="F25" t="inlineStr">
        <is>
          <t>[-0.53, -0.25]</t>
        </is>
      </c>
      <c r="G25" t="inlineStr">
        <is>
          <t>&lt; .001</t>
        </is>
      </c>
      <c r="H25" t="inlineStr">
        <is>
          <t>✓</t>
        </is>
      </c>
    </row>
    <row r="26">
      <c r="A26" t="inlineStr">
        <is>
          <t>R_PSL_ROI</t>
        </is>
      </c>
      <c r="B26" t="n">
        <v>-4.71</v>
      </c>
      <c r="C26" t="n">
        <v>821</v>
      </c>
      <c r="D26" t="inlineStr">
        <is>
          <t>&lt; .001</t>
        </is>
      </c>
      <c r="E26" t="n">
        <v>-0.33</v>
      </c>
      <c r="F26" t="inlineStr">
        <is>
          <t>[-0.47, -0.19]</t>
        </is>
      </c>
      <c r="G26" t="inlineStr">
        <is>
          <t>&lt; .001</t>
        </is>
      </c>
      <c r="H26" t="inlineStr">
        <is>
          <t>✓</t>
        </is>
      </c>
    </row>
    <row r="27">
      <c r="A27" t="inlineStr">
        <is>
          <t>R_SFL_ROI</t>
        </is>
      </c>
      <c r="B27" t="n">
        <v>-3.64</v>
      </c>
      <c r="C27" t="n">
        <v>821</v>
      </c>
      <c r="D27" t="inlineStr">
        <is>
          <t>&lt; .001</t>
        </is>
      </c>
      <c r="E27" t="n">
        <v>-0.25</v>
      </c>
      <c r="F27" t="inlineStr">
        <is>
          <t>[-0.39, -0.12]</t>
        </is>
      </c>
      <c r="G27" t="inlineStr">
        <is>
          <t>&lt; .001</t>
        </is>
      </c>
      <c r="H27" t="inlineStr">
        <is>
          <t>✓</t>
        </is>
      </c>
    </row>
    <row r="28">
      <c r="A28" t="inlineStr">
        <is>
          <t>R_PCV_ROI</t>
        </is>
      </c>
      <c r="B28" t="n">
        <v>-4.37</v>
      </c>
      <c r="C28" t="n">
        <v>821</v>
      </c>
      <c r="D28" t="inlineStr">
        <is>
          <t>&lt; .001</t>
        </is>
      </c>
      <c r="E28" t="n">
        <v>-0.3</v>
      </c>
      <c r="F28" t="inlineStr">
        <is>
          <t>[-0.44, -0.17]</t>
        </is>
      </c>
      <c r="G28" t="inlineStr">
        <is>
          <t>&lt; .001</t>
        </is>
      </c>
      <c r="H28" t="inlineStr">
        <is>
          <t>✓</t>
        </is>
      </c>
    </row>
    <row r="29">
      <c r="A29" t="inlineStr">
        <is>
          <t>R_STV_ROI</t>
        </is>
      </c>
      <c r="B29" t="n">
        <v>-4.68</v>
      </c>
      <c r="C29" t="n">
        <v>821</v>
      </c>
      <c r="D29" t="inlineStr">
        <is>
          <t>&lt; .001</t>
        </is>
      </c>
      <c r="E29" t="n">
        <v>-0.33</v>
      </c>
      <c r="F29" t="inlineStr">
        <is>
          <t>[-0.46, -0.19]</t>
        </is>
      </c>
      <c r="G29" t="inlineStr">
        <is>
          <t>&lt; .001</t>
        </is>
      </c>
      <c r="H29" t="inlineStr">
        <is>
          <t>✓</t>
        </is>
      </c>
    </row>
    <row r="30">
      <c r="A30" t="inlineStr">
        <is>
          <t>R_7Pm_ROI</t>
        </is>
      </c>
      <c r="B30" t="n">
        <v>-2.2</v>
      </c>
      <c r="C30" t="n">
        <v>821</v>
      </c>
      <c r="D30">
        <f> 0.028</f>
        <v/>
      </c>
      <c r="E30" t="n">
        <v>-0.15</v>
      </c>
      <c r="F30" t="inlineStr">
        <is>
          <t>[-0.29, -0.02]</t>
        </is>
      </c>
      <c r="G30">
        <f> 0.032</f>
        <v/>
      </c>
      <c r="H30" t="inlineStr">
        <is>
          <t>✓</t>
        </is>
      </c>
    </row>
    <row r="31">
      <c r="A31" t="inlineStr">
        <is>
          <t>R_7m_ROI</t>
        </is>
      </c>
      <c r="B31" t="n">
        <v>-3.65</v>
      </c>
      <c r="C31" t="n">
        <v>821</v>
      </c>
      <c r="D31" t="inlineStr">
        <is>
          <t>&lt; .001</t>
        </is>
      </c>
      <c r="E31" t="n">
        <v>-0.25</v>
      </c>
      <c r="F31" t="inlineStr">
        <is>
          <t>[-0.39, -0.12]</t>
        </is>
      </c>
      <c r="G31" t="inlineStr">
        <is>
          <t>&lt; .001</t>
        </is>
      </c>
      <c r="H31" t="inlineStr">
        <is>
          <t>✓</t>
        </is>
      </c>
    </row>
    <row r="32">
      <c r="A32" t="inlineStr">
        <is>
          <t>R_POS1_ROI</t>
        </is>
      </c>
      <c r="B32" t="n">
        <v>-4.82</v>
      </c>
      <c r="C32" t="n">
        <v>821</v>
      </c>
      <c r="D32" t="inlineStr">
        <is>
          <t>&lt; .001</t>
        </is>
      </c>
      <c r="E32" t="n">
        <v>-0.34</v>
      </c>
      <c r="F32" t="inlineStr">
        <is>
          <t>[-0.47, -0.20]</t>
        </is>
      </c>
      <c r="G32" t="inlineStr">
        <is>
          <t>&lt; .001</t>
        </is>
      </c>
      <c r="H32" t="inlineStr">
        <is>
          <t>✓</t>
        </is>
      </c>
    </row>
    <row r="33">
      <c r="A33" t="inlineStr">
        <is>
          <t>R_23d_ROI</t>
        </is>
      </c>
      <c r="B33" t="n">
        <v>-5.17</v>
      </c>
      <c r="C33" t="n">
        <v>821</v>
      </c>
      <c r="D33" t="inlineStr">
        <is>
          <t>&lt; .001</t>
        </is>
      </c>
      <c r="E33" t="n">
        <v>-0.36</v>
      </c>
      <c r="F33" t="inlineStr">
        <is>
          <t>[-0.50, -0.22]</t>
        </is>
      </c>
      <c r="G33" t="inlineStr">
        <is>
          <t>&lt; .001</t>
        </is>
      </c>
      <c r="H33" t="inlineStr">
        <is>
          <t>✓</t>
        </is>
      </c>
    </row>
    <row r="34">
      <c r="A34" t="inlineStr">
        <is>
          <t>R_v23ab_ROI</t>
        </is>
      </c>
      <c r="B34" t="n">
        <v>-4.37</v>
      </c>
      <c r="C34" t="n">
        <v>821</v>
      </c>
      <c r="D34" t="inlineStr">
        <is>
          <t>&lt; .001</t>
        </is>
      </c>
      <c r="E34" t="n">
        <v>-0.3</v>
      </c>
      <c r="F34" t="inlineStr">
        <is>
          <t>[-0.44, -0.17]</t>
        </is>
      </c>
      <c r="G34" t="inlineStr">
        <is>
          <t>&lt; .001</t>
        </is>
      </c>
      <c r="H34" t="inlineStr">
        <is>
          <t>✓</t>
        </is>
      </c>
    </row>
    <row r="35">
      <c r="A35" t="inlineStr">
        <is>
          <t>R_d23ab_ROI</t>
        </is>
      </c>
      <c r="B35" t="n">
        <v>-4.52</v>
      </c>
      <c r="C35" t="n">
        <v>821</v>
      </c>
      <c r="D35" t="inlineStr">
        <is>
          <t>&lt; .001</t>
        </is>
      </c>
      <c r="E35" t="n">
        <v>-0.32</v>
      </c>
      <c r="F35" t="inlineStr">
        <is>
          <t>[-0.45, -0.18]</t>
        </is>
      </c>
      <c r="G35" t="inlineStr">
        <is>
          <t>&lt; .001</t>
        </is>
      </c>
      <c r="H35" t="inlineStr">
        <is>
          <t>✓</t>
        </is>
      </c>
    </row>
    <row r="36">
      <c r="A36" t="inlineStr">
        <is>
          <t>R_31pv_ROI</t>
        </is>
      </c>
      <c r="B36" t="n">
        <v>-4.3</v>
      </c>
      <c r="C36" t="n">
        <v>821</v>
      </c>
      <c r="D36" t="inlineStr">
        <is>
          <t>&lt; .001</t>
        </is>
      </c>
      <c r="E36" t="n">
        <v>-0.3</v>
      </c>
      <c r="F36" t="inlineStr">
        <is>
          <t>[-0.44, -0.16]</t>
        </is>
      </c>
      <c r="G36" t="inlineStr">
        <is>
          <t>&lt; .001</t>
        </is>
      </c>
      <c r="H36" t="inlineStr">
        <is>
          <t>✓</t>
        </is>
      </c>
    </row>
    <row r="37">
      <c r="A37" t="inlineStr">
        <is>
          <t>R_5m_ROI</t>
        </is>
      </c>
      <c r="B37" t="n">
        <v>-3.46</v>
      </c>
      <c r="C37" t="n">
        <v>821</v>
      </c>
      <c r="D37" t="inlineStr">
        <is>
          <t>&lt; .001</t>
        </is>
      </c>
      <c r="E37" t="n">
        <v>-0.24</v>
      </c>
      <c r="F37" t="inlineStr">
        <is>
          <t>[-0.38, -0.10]</t>
        </is>
      </c>
      <c r="G37" t="inlineStr">
        <is>
          <t>&lt; .001</t>
        </is>
      </c>
      <c r="H37" t="inlineStr">
        <is>
          <t>✓</t>
        </is>
      </c>
    </row>
    <row r="38">
      <c r="A38" t="inlineStr">
        <is>
          <t>R_5mv_ROI</t>
        </is>
      </c>
      <c r="B38" t="n">
        <v>-3.18</v>
      </c>
      <c r="C38" t="n">
        <v>821</v>
      </c>
      <c r="D38">
        <f> 0.002</f>
        <v/>
      </c>
      <c r="E38" t="n">
        <v>-0.22</v>
      </c>
      <c r="F38" t="inlineStr">
        <is>
          <t>[-0.36, -0.08]</t>
        </is>
      </c>
      <c r="G38">
        <f> 0.002</f>
        <v/>
      </c>
      <c r="H38" t="inlineStr">
        <is>
          <t>✓</t>
        </is>
      </c>
    </row>
    <row r="39">
      <c r="A39" t="inlineStr">
        <is>
          <t>R_23c_ROI</t>
        </is>
      </c>
      <c r="B39" t="n">
        <v>-4.6</v>
      </c>
      <c r="C39" t="n">
        <v>821</v>
      </c>
      <c r="D39" t="inlineStr">
        <is>
          <t>&lt; .001</t>
        </is>
      </c>
      <c r="E39" t="n">
        <v>-0.32</v>
      </c>
      <c r="F39" t="inlineStr">
        <is>
          <t>[-0.46, -0.18]</t>
        </is>
      </c>
      <c r="G39" t="inlineStr">
        <is>
          <t>&lt; .001</t>
        </is>
      </c>
      <c r="H39" t="inlineStr">
        <is>
          <t>✓</t>
        </is>
      </c>
    </row>
    <row r="40">
      <c r="A40" t="inlineStr">
        <is>
          <t>R_5L_ROI</t>
        </is>
      </c>
      <c r="B40" t="n">
        <v>-3.26</v>
      </c>
      <c r="C40" t="n">
        <v>821</v>
      </c>
      <c r="D40">
        <f> 0.001</f>
        <v/>
      </c>
      <c r="E40" t="n">
        <v>-0.23</v>
      </c>
      <c r="F40" t="inlineStr">
        <is>
          <t>[-0.36, -0.09]</t>
        </is>
      </c>
      <c r="G40">
        <f> 0.002</f>
        <v/>
      </c>
      <c r="H40" t="inlineStr">
        <is>
          <t>✓</t>
        </is>
      </c>
    </row>
    <row r="41">
      <c r="A41" t="inlineStr">
        <is>
          <t>R_24dd_ROI</t>
        </is>
      </c>
      <c r="B41" t="n">
        <v>-5.03</v>
      </c>
      <c r="C41" t="n">
        <v>821</v>
      </c>
      <c r="D41" t="inlineStr">
        <is>
          <t>&lt; .001</t>
        </is>
      </c>
      <c r="E41" t="n">
        <v>-0.35</v>
      </c>
      <c r="F41" t="inlineStr">
        <is>
          <t>[-0.49, -0.21]</t>
        </is>
      </c>
      <c r="G41" t="inlineStr">
        <is>
          <t>&lt; .001</t>
        </is>
      </c>
      <c r="H41" t="inlineStr">
        <is>
          <t>✓</t>
        </is>
      </c>
    </row>
    <row r="42">
      <c r="A42" t="inlineStr">
        <is>
          <t>R_24dv_ROI</t>
        </is>
      </c>
      <c r="B42" t="n">
        <v>-5.15</v>
      </c>
      <c r="C42" t="n">
        <v>821</v>
      </c>
      <c r="D42" t="inlineStr">
        <is>
          <t>&lt; .001</t>
        </is>
      </c>
      <c r="E42" t="n">
        <v>-0.36</v>
      </c>
      <c r="F42" t="inlineStr">
        <is>
          <t>[-0.50, -0.22]</t>
        </is>
      </c>
      <c r="G42" t="inlineStr">
        <is>
          <t>&lt; .001</t>
        </is>
      </c>
      <c r="H42" t="inlineStr">
        <is>
          <t>✓</t>
        </is>
      </c>
    </row>
    <row r="43">
      <c r="A43" t="inlineStr">
        <is>
          <t>R_7AL_ROI</t>
        </is>
      </c>
      <c r="B43" t="n">
        <v>-3.39</v>
      </c>
      <c r="C43" t="n">
        <v>821</v>
      </c>
      <c r="D43" t="inlineStr">
        <is>
          <t>&lt; .001</t>
        </is>
      </c>
      <c r="E43" t="n">
        <v>-0.24</v>
      </c>
      <c r="F43" t="inlineStr">
        <is>
          <t>[-0.37, -0.10]</t>
        </is>
      </c>
      <c r="G43">
        <f> 0.001</f>
        <v/>
      </c>
      <c r="H43" t="inlineStr">
        <is>
          <t>✓</t>
        </is>
      </c>
    </row>
    <row r="44">
      <c r="A44" t="inlineStr">
        <is>
          <t>R_SCEF_ROI</t>
        </is>
      </c>
      <c r="B44" t="n">
        <v>-5.32</v>
      </c>
      <c r="C44" t="n">
        <v>821</v>
      </c>
      <c r="D44" t="inlineStr">
        <is>
          <t>&lt; .001</t>
        </is>
      </c>
      <c r="E44" t="n">
        <v>-0.37</v>
      </c>
      <c r="F44" t="inlineStr">
        <is>
          <t>[-0.51, -0.23]</t>
        </is>
      </c>
      <c r="G44" t="inlineStr">
        <is>
          <t>&lt; .001</t>
        </is>
      </c>
      <c r="H44" t="inlineStr">
        <is>
          <t>✓</t>
        </is>
      </c>
    </row>
    <row r="45">
      <c r="A45" t="inlineStr">
        <is>
          <t>R_6ma_ROI</t>
        </is>
      </c>
      <c r="B45" t="n">
        <v>-3.98</v>
      </c>
      <c r="C45" t="n">
        <v>821</v>
      </c>
      <c r="D45" t="inlineStr">
        <is>
          <t>&lt; .001</t>
        </is>
      </c>
      <c r="E45" t="n">
        <v>-0.28</v>
      </c>
      <c r="F45" t="inlineStr">
        <is>
          <t>[-0.41, -0.14]</t>
        </is>
      </c>
      <c r="G45" t="inlineStr">
        <is>
          <t>&lt; .001</t>
        </is>
      </c>
      <c r="H45" t="inlineStr">
        <is>
          <t>✓</t>
        </is>
      </c>
    </row>
    <row r="46">
      <c r="A46" t="inlineStr">
        <is>
          <t>R_7PL_ROI</t>
        </is>
      </c>
      <c r="B46" t="n">
        <v>-2.72</v>
      </c>
      <c r="C46" t="n">
        <v>821</v>
      </c>
      <c r="D46">
        <f> 0.007</f>
        <v/>
      </c>
      <c r="E46" t="n">
        <v>-0.19</v>
      </c>
      <c r="F46" t="inlineStr">
        <is>
          <t>[-0.33, -0.05]</t>
        </is>
      </c>
      <c r="G46">
        <f> 0.009</f>
        <v/>
      </c>
      <c r="H46" t="inlineStr">
        <is>
          <t>✓</t>
        </is>
      </c>
    </row>
    <row r="47">
      <c r="A47" t="inlineStr">
        <is>
          <t>R_7PC_ROI</t>
        </is>
      </c>
      <c r="B47" t="n">
        <v>-4.57</v>
      </c>
      <c r="C47" t="n">
        <v>821</v>
      </c>
      <c r="D47" t="inlineStr">
        <is>
          <t>&lt; .001</t>
        </is>
      </c>
      <c r="E47" t="n">
        <v>-0.32</v>
      </c>
      <c r="F47" t="inlineStr">
        <is>
          <t>[-0.46, -0.18]</t>
        </is>
      </c>
      <c r="G47" t="inlineStr">
        <is>
          <t>&lt; .001</t>
        </is>
      </c>
      <c r="H47" t="inlineStr">
        <is>
          <t>✓</t>
        </is>
      </c>
    </row>
    <row r="48">
      <c r="A48" t="inlineStr">
        <is>
          <t>R_LIPv_ROI</t>
        </is>
      </c>
      <c r="B48" t="n">
        <v>-3.88</v>
      </c>
      <c r="C48" t="n">
        <v>821</v>
      </c>
      <c r="D48" t="inlineStr">
        <is>
          <t>&lt; .001</t>
        </is>
      </c>
      <c r="E48" t="n">
        <v>-0.27</v>
      </c>
      <c r="F48" t="inlineStr">
        <is>
          <t>[-0.41, -0.13]</t>
        </is>
      </c>
      <c r="G48" t="inlineStr">
        <is>
          <t>&lt; .001</t>
        </is>
      </c>
      <c r="H48" t="inlineStr">
        <is>
          <t>✓</t>
        </is>
      </c>
    </row>
    <row r="49">
      <c r="A49" t="inlineStr">
        <is>
          <t>R_VIP_ROI</t>
        </is>
      </c>
      <c r="B49" t="n">
        <v>-3.19</v>
      </c>
      <c r="C49" t="n">
        <v>821</v>
      </c>
      <c r="D49">
        <f> 0.001</f>
        <v/>
      </c>
      <c r="E49" t="n">
        <v>-0.22</v>
      </c>
      <c r="F49" t="inlineStr">
        <is>
          <t>[-0.36, -0.09]</t>
        </is>
      </c>
      <c r="G49">
        <f> 0.002</f>
        <v/>
      </c>
      <c r="H49" t="inlineStr">
        <is>
          <t>✓</t>
        </is>
      </c>
    </row>
    <row r="50">
      <c r="A50" t="inlineStr">
        <is>
          <t>R_MIP_ROI</t>
        </is>
      </c>
      <c r="B50" t="n">
        <v>-4.38</v>
      </c>
      <c r="C50" t="n">
        <v>821</v>
      </c>
      <c r="D50" t="inlineStr">
        <is>
          <t>&lt; .001</t>
        </is>
      </c>
      <c r="E50" t="n">
        <v>-0.31</v>
      </c>
      <c r="F50" t="inlineStr">
        <is>
          <t>[-0.44, -0.17]</t>
        </is>
      </c>
      <c r="G50" t="inlineStr">
        <is>
          <t>&lt; .001</t>
        </is>
      </c>
      <c r="H50" t="inlineStr">
        <is>
          <t>✓</t>
        </is>
      </c>
    </row>
    <row r="51">
      <c r="A51" t="inlineStr">
        <is>
          <t>R_1_ROI</t>
        </is>
      </c>
      <c r="B51" t="n">
        <v>-5.42</v>
      </c>
      <c r="C51" t="n">
        <v>821</v>
      </c>
      <c r="D51" t="inlineStr">
        <is>
          <t>&lt; .001</t>
        </is>
      </c>
      <c r="E51" t="n">
        <v>-0.38</v>
      </c>
      <c r="F51" t="inlineStr">
        <is>
          <t>[-0.52, -0.24]</t>
        </is>
      </c>
      <c r="G51" t="inlineStr">
        <is>
          <t>&lt; .001</t>
        </is>
      </c>
      <c r="H51" t="inlineStr">
        <is>
          <t>✓</t>
        </is>
      </c>
    </row>
    <row r="52">
      <c r="A52" t="inlineStr">
        <is>
          <t>R_2_ROI</t>
        </is>
      </c>
      <c r="B52" t="n">
        <v>-5.31</v>
      </c>
      <c r="C52" t="n">
        <v>821</v>
      </c>
      <c r="D52" t="inlineStr">
        <is>
          <t>&lt; .001</t>
        </is>
      </c>
      <c r="E52" t="n">
        <v>-0.37</v>
      </c>
      <c r="F52" t="inlineStr">
        <is>
          <t>[-0.51, -0.23]</t>
        </is>
      </c>
      <c r="G52" t="inlineStr">
        <is>
          <t>&lt; .001</t>
        </is>
      </c>
      <c r="H52" t="inlineStr">
        <is>
          <t>✓</t>
        </is>
      </c>
    </row>
    <row r="53">
      <c r="A53" t="inlineStr">
        <is>
          <t>R_3a_ROI</t>
        </is>
      </c>
      <c r="B53" t="n">
        <v>-3.74</v>
      </c>
      <c r="C53" t="n">
        <v>821</v>
      </c>
      <c r="D53" t="inlineStr">
        <is>
          <t>&lt; .001</t>
        </is>
      </c>
      <c r="E53" t="n">
        <v>-0.26</v>
      </c>
      <c r="F53" t="inlineStr">
        <is>
          <t>[-0.40, -0.12]</t>
        </is>
      </c>
      <c r="G53" t="inlineStr">
        <is>
          <t>&lt; .001</t>
        </is>
      </c>
      <c r="H53" t="inlineStr">
        <is>
          <t>✓</t>
        </is>
      </c>
    </row>
    <row r="54">
      <c r="A54" t="inlineStr">
        <is>
          <t>R_6d_ROI</t>
        </is>
      </c>
      <c r="B54" t="n">
        <v>-4.99</v>
      </c>
      <c r="C54" t="n">
        <v>821</v>
      </c>
      <c r="D54" t="inlineStr">
        <is>
          <t>&lt; .001</t>
        </is>
      </c>
      <c r="E54" t="n">
        <v>-0.35</v>
      </c>
      <c r="F54" t="inlineStr">
        <is>
          <t>[-0.49, -0.21]</t>
        </is>
      </c>
      <c r="G54" t="inlineStr">
        <is>
          <t>&lt; .001</t>
        </is>
      </c>
      <c r="H54" t="inlineStr">
        <is>
          <t>✓</t>
        </is>
      </c>
    </row>
    <row r="55">
      <c r="A55" t="inlineStr">
        <is>
          <t>R_6mp_ROI</t>
        </is>
      </c>
      <c r="B55" t="n">
        <v>-5.49</v>
      </c>
      <c r="C55" t="n">
        <v>821</v>
      </c>
      <c r="D55" t="inlineStr">
        <is>
          <t>&lt; .001</t>
        </is>
      </c>
      <c r="E55" t="n">
        <v>-0.38</v>
      </c>
      <c r="F55" t="inlineStr">
        <is>
          <t>[-0.52, -0.25]</t>
        </is>
      </c>
      <c r="G55" t="inlineStr">
        <is>
          <t>&lt; .001</t>
        </is>
      </c>
      <c r="H55" t="inlineStr">
        <is>
          <t>✓</t>
        </is>
      </c>
    </row>
    <row r="56">
      <c r="A56" t="inlineStr">
        <is>
          <t>R_6v_ROI</t>
        </is>
      </c>
      <c r="B56" t="n">
        <v>-5.28</v>
      </c>
      <c r="C56" t="n">
        <v>821</v>
      </c>
      <c r="D56" t="inlineStr">
        <is>
          <t>&lt; .001</t>
        </is>
      </c>
      <c r="E56" t="n">
        <v>-0.37</v>
      </c>
      <c r="F56" t="inlineStr">
        <is>
          <t>[-0.51, -0.23]</t>
        </is>
      </c>
      <c r="G56" t="inlineStr">
        <is>
          <t>&lt; .001</t>
        </is>
      </c>
      <c r="H56" t="inlineStr">
        <is>
          <t>✓</t>
        </is>
      </c>
    </row>
    <row r="57">
      <c r="A57" t="inlineStr">
        <is>
          <t>R_p24pr_ROI</t>
        </is>
      </c>
      <c r="B57" t="n">
        <v>-5.64</v>
      </c>
      <c r="C57" t="n">
        <v>821</v>
      </c>
      <c r="D57" t="inlineStr">
        <is>
          <t>&lt; .001</t>
        </is>
      </c>
      <c r="E57" t="n">
        <v>-0.39</v>
      </c>
      <c r="F57" t="inlineStr">
        <is>
          <t>[-0.53, -0.26]</t>
        </is>
      </c>
      <c r="G57" t="inlineStr">
        <is>
          <t>&lt; .001</t>
        </is>
      </c>
      <c r="H57" t="inlineStr">
        <is>
          <t>✓</t>
        </is>
      </c>
    </row>
    <row r="58">
      <c r="A58" t="inlineStr">
        <is>
          <t>R_33pr_ROI</t>
        </is>
      </c>
      <c r="B58" t="n">
        <v>-2.48</v>
      </c>
      <c r="C58" t="n">
        <v>821</v>
      </c>
      <c r="D58">
        <f> 0.013</f>
        <v/>
      </c>
      <c r="E58" t="n">
        <v>-0.17</v>
      </c>
      <c r="F58" t="inlineStr">
        <is>
          <t>[-0.31, -0.04]</t>
        </is>
      </c>
      <c r="G58">
        <f> 0.016</f>
        <v/>
      </c>
      <c r="H58" t="inlineStr">
        <is>
          <t>✓</t>
        </is>
      </c>
    </row>
    <row r="59">
      <c r="A59" t="inlineStr">
        <is>
          <t>R_a24pr_ROI</t>
        </is>
      </c>
      <c r="B59" t="n">
        <v>-3.86</v>
      </c>
      <c r="C59" t="n">
        <v>821</v>
      </c>
      <c r="D59" t="inlineStr">
        <is>
          <t>&lt; .001</t>
        </is>
      </c>
      <c r="E59" t="n">
        <v>-0.27</v>
      </c>
      <c r="F59" t="inlineStr">
        <is>
          <t>[-0.41, -0.13]</t>
        </is>
      </c>
      <c r="G59" t="inlineStr">
        <is>
          <t>&lt; .001</t>
        </is>
      </c>
      <c r="H59" t="inlineStr">
        <is>
          <t>✓</t>
        </is>
      </c>
    </row>
    <row r="60">
      <c r="A60" t="inlineStr">
        <is>
          <t>R_p32pr_ROI</t>
        </is>
      </c>
      <c r="B60" t="n">
        <v>-4.77</v>
      </c>
      <c r="C60" t="n">
        <v>821</v>
      </c>
      <c r="D60" t="inlineStr">
        <is>
          <t>&lt; .001</t>
        </is>
      </c>
      <c r="E60" t="n">
        <v>-0.33</v>
      </c>
      <c r="F60" t="inlineStr">
        <is>
          <t>[-0.47, -0.19]</t>
        </is>
      </c>
      <c r="G60" t="inlineStr">
        <is>
          <t>&lt; .001</t>
        </is>
      </c>
      <c r="H60" t="inlineStr">
        <is>
          <t>✓</t>
        </is>
      </c>
    </row>
    <row r="61">
      <c r="A61" t="inlineStr">
        <is>
          <t>R_d32_ROI</t>
        </is>
      </c>
      <c r="B61" t="n">
        <v>-5.74</v>
      </c>
      <c r="C61" t="n">
        <v>821</v>
      </c>
      <c r="D61" t="inlineStr">
        <is>
          <t>&lt; .001</t>
        </is>
      </c>
      <c r="E61" t="n">
        <v>-0.4</v>
      </c>
      <c r="F61" t="inlineStr">
        <is>
          <t>[-0.54, -0.26]</t>
        </is>
      </c>
      <c r="G61" t="inlineStr">
        <is>
          <t>&lt; .001</t>
        </is>
      </c>
      <c r="H61" t="inlineStr">
        <is>
          <t>✓</t>
        </is>
      </c>
    </row>
    <row r="62">
      <c r="A62" t="inlineStr">
        <is>
          <t>R_8BM_ROI</t>
        </is>
      </c>
      <c r="B62" t="n">
        <v>-4.27</v>
      </c>
      <c r="C62" t="n">
        <v>821</v>
      </c>
      <c r="D62" t="inlineStr">
        <is>
          <t>&lt; .001</t>
        </is>
      </c>
      <c r="E62" t="n">
        <v>-0.3</v>
      </c>
      <c r="F62" t="inlineStr">
        <is>
          <t>[-0.43, -0.16]</t>
        </is>
      </c>
      <c r="G62" t="inlineStr">
        <is>
          <t>&lt; .001</t>
        </is>
      </c>
      <c r="H62" t="inlineStr">
        <is>
          <t>✓</t>
        </is>
      </c>
    </row>
    <row r="63">
      <c r="A63" t="inlineStr">
        <is>
          <t>R_47m_ROI</t>
        </is>
      </c>
      <c r="B63" t="n">
        <v>-2.36</v>
      </c>
      <c r="C63" t="n">
        <v>821</v>
      </c>
      <c r="D63">
        <f> 0.019</f>
        <v/>
      </c>
      <c r="E63" t="n">
        <v>-0.16</v>
      </c>
      <c r="F63" t="inlineStr">
        <is>
          <t>[-0.30, -0.03]</t>
        </is>
      </c>
      <c r="G63">
        <f> 0.022</f>
        <v/>
      </c>
      <c r="H63" t="inlineStr">
        <is>
          <t>✓</t>
        </is>
      </c>
    </row>
    <row r="64">
      <c r="A64" t="inlineStr">
        <is>
          <t>R_8Av_ROI</t>
        </is>
      </c>
      <c r="B64" t="n">
        <v>-4.44</v>
      </c>
      <c r="C64" t="n">
        <v>821</v>
      </c>
      <c r="D64" t="inlineStr">
        <is>
          <t>&lt; .001</t>
        </is>
      </c>
      <c r="E64" t="n">
        <v>-0.31</v>
      </c>
      <c r="F64" t="inlineStr">
        <is>
          <t>[-0.45, -0.17]</t>
        </is>
      </c>
      <c r="G64" t="inlineStr">
        <is>
          <t>&lt; .001</t>
        </is>
      </c>
      <c r="H64" t="inlineStr">
        <is>
          <t>✓</t>
        </is>
      </c>
    </row>
    <row r="65">
      <c r="A65" t="inlineStr">
        <is>
          <t>R_8Ad_ROI</t>
        </is>
      </c>
      <c r="B65" t="n">
        <v>-3.54</v>
      </c>
      <c r="C65" t="n">
        <v>821</v>
      </c>
      <c r="D65" t="inlineStr">
        <is>
          <t>&lt; .001</t>
        </is>
      </c>
      <c r="E65" t="n">
        <v>-0.25</v>
      </c>
      <c r="F65" t="inlineStr">
        <is>
          <t>[-0.38, -0.11]</t>
        </is>
      </c>
      <c r="G65" t="inlineStr">
        <is>
          <t>&lt; .001</t>
        </is>
      </c>
      <c r="H65" t="inlineStr">
        <is>
          <t>✓</t>
        </is>
      </c>
    </row>
    <row r="66">
      <c r="A66" t="inlineStr">
        <is>
          <t>R_9m_ROI</t>
        </is>
      </c>
      <c r="B66" t="n">
        <v>-4.05</v>
      </c>
      <c r="C66" t="n">
        <v>821</v>
      </c>
      <c r="D66" t="inlineStr">
        <is>
          <t>&lt; .001</t>
        </is>
      </c>
      <c r="E66" t="n">
        <v>-0.28</v>
      </c>
      <c r="F66" t="inlineStr">
        <is>
          <t>[-0.42, -0.15]</t>
        </is>
      </c>
      <c r="G66" t="inlineStr">
        <is>
          <t>&lt; .001</t>
        </is>
      </c>
      <c r="H66" t="inlineStr">
        <is>
          <t>✓</t>
        </is>
      </c>
    </row>
    <row r="67">
      <c r="A67" t="inlineStr">
        <is>
          <t>R_8BL_ROI</t>
        </is>
      </c>
      <c r="B67" t="n">
        <v>-3.7</v>
      </c>
      <c r="C67" t="n">
        <v>821</v>
      </c>
      <c r="D67" t="inlineStr">
        <is>
          <t>&lt; .001</t>
        </is>
      </c>
      <c r="E67" t="n">
        <v>-0.26</v>
      </c>
      <c r="F67" t="inlineStr">
        <is>
          <t>[-0.40, -0.12]</t>
        </is>
      </c>
      <c r="G67" t="inlineStr">
        <is>
          <t>&lt; .001</t>
        </is>
      </c>
      <c r="H67" t="inlineStr">
        <is>
          <t>✓</t>
        </is>
      </c>
    </row>
    <row r="68">
      <c r="A68" t="inlineStr">
        <is>
          <t>R_9p_ROI</t>
        </is>
      </c>
      <c r="B68" t="n">
        <v>-2.68</v>
      </c>
      <c r="C68" t="n">
        <v>821</v>
      </c>
      <c r="D68">
        <f> 0.007</f>
        <v/>
      </c>
      <c r="E68" t="n">
        <v>-0.19</v>
      </c>
      <c r="F68" t="inlineStr">
        <is>
          <t>[-0.32, -0.05]</t>
        </is>
      </c>
      <c r="G68">
        <f> 0.009</f>
        <v/>
      </c>
      <c r="H68" t="inlineStr">
        <is>
          <t>✓</t>
        </is>
      </c>
    </row>
    <row r="69">
      <c r="A69" t="inlineStr">
        <is>
          <t>R_10d_ROI</t>
        </is>
      </c>
      <c r="B69" t="n">
        <v>-2.61</v>
      </c>
      <c r="C69" t="n">
        <v>821</v>
      </c>
      <c r="D69">
        <f> 0.009</f>
        <v/>
      </c>
      <c r="E69" t="n">
        <v>-0.18</v>
      </c>
      <c r="F69" t="inlineStr">
        <is>
          <t>[-0.32, -0.05]</t>
        </is>
      </c>
      <c r="G69">
        <f> 0.012</f>
        <v/>
      </c>
      <c r="H69" t="inlineStr">
        <is>
          <t>✓</t>
        </is>
      </c>
    </row>
    <row r="70">
      <c r="A70" t="inlineStr">
        <is>
          <t>R_8C_ROI</t>
        </is>
      </c>
      <c r="B70" t="n">
        <v>-5.37</v>
      </c>
      <c r="C70" t="n">
        <v>821</v>
      </c>
      <c r="D70" t="inlineStr">
        <is>
          <t>&lt; .001</t>
        </is>
      </c>
      <c r="E70" t="n">
        <v>-0.37</v>
      </c>
      <c r="F70" t="inlineStr">
        <is>
          <t>[-0.51, -0.24]</t>
        </is>
      </c>
      <c r="G70" t="inlineStr">
        <is>
          <t>&lt; .001</t>
        </is>
      </c>
      <c r="H70" t="inlineStr">
        <is>
          <t>✓</t>
        </is>
      </c>
    </row>
    <row r="71">
      <c r="A71" t="inlineStr">
        <is>
          <t>R_44_ROI</t>
        </is>
      </c>
      <c r="B71" t="n">
        <v>-4.3</v>
      </c>
      <c r="C71" t="n">
        <v>821</v>
      </c>
      <c r="D71" t="inlineStr">
        <is>
          <t>&lt; .001</t>
        </is>
      </c>
      <c r="E71" t="n">
        <v>-0.3</v>
      </c>
      <c r="F71" t="inlineStr">
        <is>
          <t>[-0.44, -0.16]</t>
        </is>
      </c>
      <c r="G71" t="inlineStr">
        <is>
          <t>&lt; .001</t>
        </is>
      </c>
      <c r="H71" t="inlineStr">
        <is>
          <t>✓</t>
        </is>
      </c>
    </row>
    <row r="72">
      <c r="A72" t="inlineStr">
        <is>
          <t>R_45_ROI</t>
        </is>
      </c>
      <c r="B72" t="n">
        <v>-4.73</v>
      </c>
      <c r="C72" t="n">
        <v>821</v>
      </c>
      <c r="D72" t="inlineStr">
        <is>
          <t>&lt; .001</t>
        </is>
      </c>
      <c r="E72" t="n">
        <v>-0.33</v>
      </c>
      <c r="F72" t="inlineStr">
        <is>
          <t>[-0.47, -0.19]</t>
        </is>
      </c>
      <c r="G72" t="inlineStr">
        <is>
          <t>&lt; .001</t>
        </is>
      </c>
      <c r="H72" t="inlineStr">
        <is>
          <t>✓</t>
        </is>
      </c>
    </row>
    <row r="73">
      <c r="A73" t="inlineStr">
        <is>
          <t>R_47l_ROI</t>
        </is>
      </c>
      <c r="B73" t="n">
        <v>-4.29</v>
      </c>
      <c r="C73" t="n">
        <v>821</v>
      </c>
      <c r="D73" t="inlineStr">
        <is>
          <t>&lt; .001</t>
        </is>
      </c>
      <c r="E73" t="n">
        <v>-0.3</v>
      </c>
      <c r="F73" t="inlineStr">
        <is>
          <t>[-0.44, -0.16]</t>
        </is>
      </c>
      <c r="G73" t="inlineStr">
        <is>
          <t>&lt; .001</t>
        </is>
      </c>
      <c r="H73" t="inlineStr">
        <is>
          <t>✓</t>
        </is>
      </c>
    </row>
    <row r="74">
      <c r="A74" t="inlineStr">
        <is>
          <t>R_a47r_ROI</t>
        </is>
      </c>
      <c r="B74" t="n">
        <v>-2.68</v>
      </c>
      <c r="C74" t="n">
        <v>821</v>
      </c>
      <c r="D74">
        <f> 0.007</f>
        <v/>
      </c>
      <c r="E74" t="n">
        <v>-0.19</v>
      </c>
      <c r="F74" t="inlineStr">
        <is>
          <t>[-0.32, -0.05]</t>
        </is>
      </c>
      <c r="G74">
        <f> 0.009</f>
        <v/>
      </c>
      <c r="H74" t="inlineStr">
        <is>
          <t>✓</t>
        </is>
      </c>
    </row>
    <row r="75">
      <c r="A75" t="inlineStr">
        <is>
          <t>R_6r_ROI</t>
        </is>
      </c>
      <c r="B75" t="n">
        <v>-4.8</v>
      </c>
      <c r="C75" t="n">
        <v>821</v>
      </c>
      <c r="D75" t="inlineStr">
        <is>
          <t>&lt; .001</t>
        </is>
      </c>
      <c r="E75" t="n">
        <v>-0.33</v>
      </c>
      <c r="F75" t="inlineStr">
        <is>
          <t>[-0.47, -0.20]</t>
        </is>
      </c>
      <c r="G75" t="inlineStr">
        <is>
          <t>&lt; .001</t>
        </is>
      </c>
      <c r="H75" t="inlineStr">
        <is>
          <t>✓</t>
        </is>
      </c>
    </row>
    <row r="76">
      <c r="A76" t="inlineStr">
        <is>
          <t>R_IFJa_ROI</t>
        </is>
      </c>
      <c r="B76" t="n">
        <v>-3.68</v>
      </c>
      <c r="C76" t="n">
        <v>821</v>
      </c>
      <c r="D76" t="inlineStr">
        <is>
          <t>&lt; .001</t>
        </is>
      </c>
      <c r="E76" t="n">
        <v>-0.26</v>
      </c>
      <c r="F76" t="inlineStr">
        <is>
          <t>[-0.39, -0.12]</t>
        </is>
      </c>
      <c r="G76" t="inlineStr">
        <is>
          <t>&lt; .001</t>
        </is>
      </c>
      <c r="H76" t="inlineStr">
        <is>
          <t>✓</t>
        </is>
      </c>
    </row>
    <row r="77">
      <c r="A77" t="inlineStr">
        <is>
          <t>R_IFJp_ROI</t>
        </is>
      </c>
      <c r="B77" t="n">
        <v>-4.34</v>
      </c>
      <c r="C77" t="n">
        <v>821</v>
      </c>
      <c r="D77" t="inlineStr">
        <is>
          <t>&lt; .001</t>
        </is>
      </c>
      <c r="E77" t="n">
        <v>-0.3</v>
      </c>
      <c r="F77" t="inlineStr">
        <is>
          <t>[-0.44, -0.16]</t>
        </is>
      </c>
      <c r="G77" t="inlineStr">
        <is>
          <t>&lt; .001</t>
        </is>
      </c>
      <c r="H77" t="inlineStr">
        <is>
          <t>✓</t>
        </is>
      </c>
    </row>
    <row r="78">
      <c r="A78" t="inlineStr">
        <is>
          <t>R_IFSp_ROI</t>
        </is>
      </c>
      <c r="B78" t="n">
        <v>-4.32</v>
      </c>
      <c r="C78" t="n">
        <v>821</v>
      </c>
      <c r="D78" t="inlineStr">
        <is>
          <t>&lt; .001</t>
        </is>
      </c>
      <c r="E78" t="n">
        <v>-0.3</v>
      </c>
      <c r="F78" t="inlineStr">
        <is>
          <t>[-0.44, -0.16]</t>
        </is>
      </c>
      <c r="G78" t="inlineStr">
        <is>
          <t>&lt; .001</t>
        </is>
      </c>
      <c r="H78" t="inlineStr">
        <is>
          <t>✓</t>
        </is>
      </c>
    </row>
    <row r="79">
      <c r="A79" t="inlineStr">
        <is>
          <t>R_IFSa_ROI</t>
        </is>
      </c>
      <c r="B79" t="n">
        <v>-3.03</v>
      </c>
      <c r="C79" t="n">
        <v>821</v>
      </c>
      <c r="D79">
        <f> 0.003</f>
        <v/>
      </c>
      <c r="E79" t="n">
        <v>-0.21</v>
      </c>
      <c r="F79" t="inlineStr">
        <is>
          <t>[-0.35, -0.07]</t>
        </is>
      </c>
      <c r="G79">
        <f> 0.003</f>
        <v/>
      </c>
      <c r="H79" t="inlineStr">
        <is>
          <t>✓</t>
        </is>
      </c>
    </row>
    <row r="80">
      <c r="A80" t="inlineStr">
        <is>
          <t>R_p9_46v_ROI</t>
        </is>
      </c>
      <c r="B80" t="n">
        <v>-4.29</v>
      </c>
      <c r="C80" t="n">
        <v>821</v>
      </c>
      <c r="D80" t="inlineStr">
        <is>
          <t>&lt; .001</t>
        </is>
      </c>
      <c r="E80" t="n">
        <v>-0.3</v>
      </c>
      <c r="F80" t="inlineStr">
        <is>
          <t>[-0.44, -0.16]</t>
        </is>
      </c>
      <c r="G80" t="inlineStr">
        <is>
          <t>&lt; .001</t>
        </is>
      </c>
      <c r="H80" t="inlineStr">
        <is>
          <t>✓</t>
        </is>
      </c>
    </row>
    <row r="81">
      <c r="A81" t="inlineStr">
        <is>
          <t>R_46_ROI</t>
        </is>
      </c>
      <c r="B81" t="n">
        <v>-4.08</v>
      </c>
      <c r="C81" t="n">
        <v>821</v>
      </c>
      <c r="D81" t="inlineStr">
        <is>
          <t>&lt; .001</t>
        </is>
      </c>
      <c r="E81" t="n">
        <v>-0.28</v>
      </c>
      <c r="F81" t="inlineStr">
        <is>
          <t>[-0.42, -0.15]</t>
        </is>
      </c>
      <c r="G81" t="inlineStr">
        <is>
          <t>&lt; .001</t>
        </is>
      </c>
      <c r="H81" t="inlineStr">
        <is>
          <t>✓</t>
        </is>
      </c>
    </row>
    <row r="82">
      <c r="A82" t="inlineStr">
        <is>
          <t>R_a9_46v_ROI</t>
        </is>
      </c>
      <c r="B82" t="n">
        <v>-2.44</v>
      </c>
      <c r="C82" t="n">
        <v>821</v>
      </c>
      <c r="D82">
        <f> 0.015</f>
        <v/>
      </c>
      <c r="E82" t="n">
        <v>-0.17</v>
      </c>
      <c r="F82" t="inlineStr">
        <is>
          <t>[-0.31, -0.03]</t>
        </is>
      </c>
      <c r="G82">
        <f> 0.018</f>
        <v/>
      </c>
      <c r="H82" t="inlineStr">
        <is>
          <t>✓</t>
        </is>
      </c>
    </row>
    <row r="83">
      <c r="A83" t="inlineStr">
        <is>
          <t>R_9_46d_ROI</t>
        </is>
      </c>
      <c r="B83" t="n">
        <v>-3.51</v>
      </c>
      <c r="C83" t="n">
        <v>821</v>
      </c>
      <c r="D83" t="inlineStr">
        <is>
          <t>&lt; .001</t>
        </is>
      </c>
      <c r="E83" t="n">
        <v>-0.24</v>
      </c>
      <c r="F83" t="inlineStr">
        <is>
          <t>[-0.38, -0.11]</t>
        </is>
      </c>
      <c r="G83" t="inlineStr">
        <is>
          <t>&lt; .001</t>
        </is>
      </c>
      <c r="H83" t="inlineStr">
        <is>
          <t>✓</t>
        </is>
      </c>
    </row>
    <row r="84">
      <c r="A84" t="inlineStr">
        <is>
          <t>R_9a_ROI</t>
        </is>
      </c>
      <c r="B84" t="n">
        <v>-2.31</v>
      </c>
      <c r="C84" t="n">
        <v>821</v>
      </c>
      <c r="D84">
        <f> 0.021</f>
        <v/>
      </c>
      <c r="E84" t="n">
        <v>-0.16</v>
      </c>
      <c r="F84" t="inlineStr">
        <is>
          <t>[-0.30, -0.02]</t>
        </is>
      </c>
      <c r="G84">
        <f> 0.025</f>
        <v/>
      </c>
      <c r="H84" t="inlineStr">
        <is>
          <t>✓</t>
        </is>
      </c>
    </row>
    <row r="85">
      <c r="A85" t="inlineStr">
        <is>
          <t>R_a10p_ROI</t>
        </is>
      </c>
      <c r="B85" t="n">
        <v>-2.76</v>
      </c>
      <c r="C85" t="n">
        <v>821</v>
      </c>
      <c r="D85">
        <f> 0.006</f>
        <v/>
      </c>
      <c r="E85" t="n">
        <v>-0.19</v>
      </c>
      <c r="F85" t="inlineStr">
        <is>
          <t>[-0.33, -0.06]</t>
        </is>
      </c>
      <c r="G85">
        <f> 0.008</f>
        <v/>
      </c>
      <c r="H85" t="inlineStr">
        <is>
          <t>✓</t>
        </is>
      </c>
    </row>
    <row r="86">
      <c r="A86" t="inlineStr">
        <is>
          <t>R_10pp_ROI</t>
        </is>
      </c>
      <c r="B86" t="n">
        <v>-2.59</v>
      </c>
      <c r="C86" t="n">
        <v>821</v>
      </c>
      <c r="D86">
        <f> 0.010</f>
        <v/>
      </c>
      <c r="E86" t="n">
        <v>-0.18</v>
      </c>
      <c r="F86" t="inlineStr">
        <is>
          <t>[-0.32, -0.04]</t>
        </is>
      </c>
      <c r="G86">
        <f> 0.012</f>
        <v/>
      </c>
      <c r="H86" t="inlineStr">
        <is>
          <t>✓</t>
        </is>
      </c>
    </row>
    <row r="87">
      <c r="A87" t="inlineStr">
        <is>
          <t>R_11l_ROI</t>
        </is>
      </c>
      <c r="B87" t="n">
        <v>-2.49</v>
      </c>
      <c r="C87" t="n">
        <v>821</v>
      </c>
      <c r="D87">
        <f> 0.013</f>
        <v/>
      </c>
      <c r="E87" t="n">
        <v>-0.17</v>
      </c>
      <c r="F87" t="inlineStr">
        <is>
          <t>[-0.31, -0.04]</t>
        </is>
      </c>
      <c r="G87">
        <f> 0.016</f>
        <v/>
      </c>
      <c r="H87" t="inlineStr">
        <is>
          <t>✓</t>
        </is>
      </c>
    </row>
    <row r="88">
      <c r="A88" t="inlineStr">
        <is>
          <t>R_13l_ROI</t>
        </is>
      </c>
      <c r="B88" t="n">
        <v>-2.83</v>
      </c>
      <c r="C88" t="n">
        <v>821</v>
      </c>
      <c r="D88">
        <f> 0.005</f>
        <v/>
      </c>
      <c r="E88" t="n">
        <v>-0.2</v>
      </c>
      <c r="F88" t="inlineStr">
        <is>
          <t>[-0.33, -0.06]</t>
        </is>
      </c>
      <c r="G88">
        <f> 0.006</f>
        <v/>
      </c>
      <c r="H88" t="inlineStr">
        <is>
          <t>✓</t>
        </is>
      </c>
    </row>
    <row r="89">
      <c r="A89" t="inlineStr">
        <is>
          <t>R_47s_ROI</t>
        </is>
      </c>
      <c r="B89" t="n">
        <v>-3.92</v>
      </c>
      <c r="C89" t="n">
        <v>821</v>
      </c>
      <c r="D89" t="inlineStr">
        <is>
          <t>&lt; .001</t>
        </is>
      </c>
      <c r="E89" t="n">
        <v>-0.27</v>
      </c>
      <c r="F89" t="inlineStr">
        <is>
          <t>[-0.41, -0.14]</t>
        </is>
      </c>
      <c r="G89" t="inlineStr">
        <is>
          <t>&lt; .001</t>
        </is>
      </c>
      <c r="H89" t="inlineStr">
        <is>
          <t>✓</t>
        </is>
      </c>
    </row>
    <row r="90">
      <c r="A90" t="inlineStr">
        <is>
          <t>R_LIPd_ROI</t>
        </is>
      </c>
      <c r="B90" t="n">
        <v>-4.09</v>
      </c>
      <c r="C90" t="n">
        <v>821</v>
      </c>
      <c r="D90" t="inlineStr">
        <is>
          <t>&lt; .001</t>
        </is>
      </c>
      <c r="E90" t="n">
        <v>-0.28</v>
      </c>
      <c r="F90" t="inlineStr">
        <is>
          <t>[-0.42, -0.15]</t>
        </is>
      </c>
      <c r="G90" t="inlineStr">
        <is>
          <t>&lt; .001</t>
        </is>
      </c>
      <c r="H90" t="inlineStr">
        <is>
          <t>✓</t>
        </is>
      </c>
    </row>
    <row r="91">
      <c r="A91" t="inlineStr">
        <is>
          <t>R_6a_ROI</t>
        </is>
      </c>
      <c r="B91" t="n">
        <v>-4.62</v>
      </c>
      <c r="C91" t="n">
        <v>821</v>
      </c>
      <c r="D91" t="inlineStr">
        <is>
          <t>&lt; .001</t>
        </is>
      </c>
      <c r="E91" t="n">
        <v>-0.32</v>
      </c>
      <c r="F91" t="inlineStr">
        <is>
          <t>[-0.46, -0.18]</t>
        </is>
      </c>
      <c r="G91" t="inlineStr">
        <is>
          <t>&lt; .001</t>
        </is>
      </c>
      <c r="H91" t="inlineStr">
        <is>
          <t>✓</t>
        </is>
      </c>
    </row>
    <row r="92">
      <c r="A92" t="inlineStr">
        <is>
          <t>R_i6_8_ROI</t>
        </is>
      </c>
      <c r="B92" t="n">
        <v>-4.29</v>
      </c>
      <c r="C92" t="n">
        <v>821</v>
      </c>
      <c r="D92" t="inlineStr">
        <is>
          <t>&lt; .001</t>
        </is>
      </c>
      <c r="E92" t="n">
        <v>-0.3</v>
      </c>
      <c r="F92" t="inlineStr">
        <is>
          <t>[-0.44, -0.16]</t>
        </is>
      </c>
      <c r="G92" t="inlineStr">
        <is>
          <t>&lt; .001</t>
        </is>
      </c>
      <c r="H92" t="inlineStr">
        <is>
          <t>✓</t>
        </is>
      </c>
    </row>
    <row r="93">
      <c r="A93" t="inlineStr">
        <is>
          <t>R_s6_8_ROI</t>
        </is>
      </c>
      <c r="B93" t="n">
        <v>-3.34</v>
      </c>
      <c r="C93" t="n">
        <v>821</v>
      </c>
      <c r="D93" t="inlineStr">
        <is>
          <t>&lt; .001</t>
        </is>
      </c>
      <c r="E93" t="n">
        <v>-0.23</v>
      </c>
      <c r="F93" t="inlineStr">
        <is>
          <t>[-0.37, -0.10]</t>
        </is>
      </c>
      <c r="G93">
        <f> 0.001</f>
        <v/>
      </c>
      <c r="H93" t="inlineStr">
        <is>
          <t>✓</t>
        </is>
      </c>
    </row>
    <row r="94">
      <c r="A94" t="inlineStr">
        <is>
          <t>R_43_ROI</t>
        </is>
      </c>
      <c r="B94" t="n">
        <v>-4.81</v>
      </c>
      <c r="C94" t="n">
        <v>821</v>
      </c>
      <c r="D94" t="inlineStr">
        <is>
          <t>&lt; .001</t>
        </is>
      </c>
      <c r="E94" t="n">
        <v>-0.34</v>
      </c>
      <c r="F94" t="inlineStr">
        <is>
          <t>[-0.47, -0.20]</t>
        </is>
      </c>
      <c r="G94" t="inlineStr">
        <is>
          <t>&lt; .001</t>
        </is>
      </c>
      <c r="H94" t="inlineStr">
        <is>
          <t>✓</t>
        </is>
      </c>
    </row>
    <row r="95">
      <c r="A95" t="inlineStr">
        <is>
          <t>R_OP4_ROI</t>
        </is>
      </c>
      <c r="B95" t="n">
        <v>-4.81</v>
      </c>
      <c r="C95" t="n">
        <v>821</v>
      </c>
      <c r="D95" t="inlineStr">
        <is>
          <t>&lt; .001</t>
        </is>
      </c>
      <c r="E95" t="n">
        <v>-0.34</v>
      </c>
      <c r="F95" t="inlineStr">
        <is>
          <t>[-0.47, -0.20]</t>
        </is>
      </c>
      <c r="G95" t="inlineStr">
        <is>
          <t>&lt; .001</t>
        </is>
      </c>
      <c r="H95" t="inlineStr">
        <is>
          <t>✓</t>
        </is>
      </c>
    </row>
    <row r="96">
      <c r="A96" t="inlineStr">
        <is>
          <t>R_OP1_ROI</t>
        </is>
      </c>
      <c r="B96" t="n">
        <v>-5.02</v>
      </c>
      <c r="C96" t="n">
        <v>821</v>
      </c>
      <c r="D96" t="inlineStr">
        <is>
          <t>&lt; .001</t>
        </is>
      </c>
      <c r="E96" t="n">
        <v>-0.35</v>
      </c>
      <c r="F96" t="inlineStr">
        <is>
          <t>[-0.49, -0.21]</t>
        </is>
      </c>
      <c r="G96" t="inlineStr">
        <is>
          <t>&lt; .001</t>
        </is>
      </c>
      <c r="H96" t="inlineStr">
        <is>
          <t>✓</t>
        </is>
      </c>
    </row>
    <row r="97">
      <c r="A97" t="inlineStr">
        <is>
          <t>R_OP2_3_ROI</t>
        </is>
      </c>
      <c r="B97" t="n">
        <v>-5.51</v>
      </c>
      <c r="C97" t="n">
        <v>821</v>
      </c>
      <c r="D97" t="inlineStr">
        <is>
          <t>&lt; .001</t>
        </is>
      </c>
      <c r="E97" t="n">
        <v>-0.38</v>
      </c>
      <c r="F97" t="inlineStr">
        <is>
          <t>[-0.52, -0.25]</t>
        </is>
      </c>
      <c r="G97" t="inlineStr">
        <is>
          <t>&lt; .001</t>
        </is>
      </c>
      <c r="H97" t="inlineStr">
        <is>
          <t>✓</t>
        </is>
      </c>
    </row>
    <row r="98">
      <c r="A98" t="inlineStr">
        <is>
          <t>R_52_ROI</t>
        </is>
      </c>
      <c r="B98" t="n">
        <v>-2.11</v>
      </c>
      <c r="C98" t="n">
        <v>821</v>
      </c>
      <c r="D98">
        <f> 0.035</f>
        <v/>
      </c>
      <c r="E98" t="n">
        <v>-0.15</v>
      </c>
      <c r="F98" t="inlineStr">
        <is>
          <t>[-0.28, -0.01]</t>
        </is>
      </c>
      <c r="G98">
        <f> 0.039</f>
        <v/>
      </c>
      <c r="H98" t="inlineStr">
        <is>
          <t>✓</t>
        </is>
      </c>
    </row>
    <row r="99">
      <c r="A99" t="inlineStr">
        <is>
          <t>R_RI_ROI</t>
        </is>
      </c>
      <c r="B99" t="n">
        <v>-6.04</v>
      </c>
      <c r="C99" t="n">
        <v>821</v>
      </c>
      <c r="D99" t="inlineStr">
        <is>
          <t>&lt; .001</t>
        </is>
      </c>
      <c r="E99" t="n">
        <v>-0.42</v>
      </c>
      <c r="F99" t="inlineStr">
        <is>
          <t>[-0.56, -0.28]</t>
        </is>
      </c>
      <c r="G99" t="inlineStr">
        <is>
          <t>&lt; .001</t>
        </is>
      </c>
      <c r="H99" t="inlineStr">
        <is>
          <t>✓</t>
        </is>
      </c>
    </row>
    <row r="100">
      <c r="A100" t="inlineStr">
        <is>
          <t>R_PFcm_ROI</t>
        </is>
      </c>
      <c r="B100" t="n">
        <v>-3.97</v>
      </c>
      <c r="C100" t="n">
        <v>821</v>
      </c>
      <c r="D100" t="inlineStr">
        <is>
          <t>&lt; .001</t>
        </is>
      </c>
      <c r="E100" t="n">
        <v>-0.28</v>
      </c>
      <c r="F100" t="inlineStr">
        <is>
          <t>[-0.41, -0.14]</t>
        </is>
      </c>
      <c r="G100" t="inlineStr">
        <is>
          <t>&lt; .001</t>
        </is>
      </c>
      <c r="H100" t="inlineStr">
        <is>
          <t>✓</t>
        </is>
      </c>
    </row>
    <row r="101">
      <c r="A101" t="inlineStr">
        <is>
          <t>R_TA2_ROI</t>
        </is>
      </c>
      <c r="B101" t="n">
        <v>-4.1</v>
      </c>
      <c r="C101" t="n">
        <v>821</v>
      </c>
      <c r="D101" t="inlineStr">
        <is>
          <t>&lt; .001</t>
        </is>
      </c>
      <c r="E101" t="n">
        <v>-0.29</v>
      </c>
      <c r="F101" t="inlineStr">
        <is>
          <t>[-0.42, -0.15]</t>
        </is>
      </c>
      <c r="G101" t="inlineStr">
        <is>
          <t>&lt; .001</t>
        </is>
      </c>
      <c r="H101" t="inlineStr">
        <is>
          <t>✓</t>
        </is>
      </c>
    </row>
    <row r="102">
      <c r="A102" t="inlineStr">
        <is>
          <t>R_FOP4_ROI</t>
        </is>
      </c>
      <c r="B102" t="n">
        <v>-4.51</v>
      </c>
      <c r="C102" t="n">
        <v>821</v>
      </c>
      <c r="D102" t="inlineStr">
        <is>
          <t>&lt; .001</t>
        </is>
      </c>
      <c r="E102" t="n">
        <v>-0.31</v>
      </c>
      <c r="F102" t="inlineStr">
        <is>
          <t>[-0.45, -0.18]</t>
        </is>
      </c>
      <c r="G102" t="inlineStr">
        <is>
          <t>&lt; .001</t>
        </is>
      </c>
      <c r="H102" t="inlineStr">
        <is>
          <t>✓</t>
        </is>
      </c>
    </row>
    <row r="103">
      <c r="A103" t="inlineStr">
        <is>
          <t>R_MI_ROI</t>
        </is>
      </c>
      <c r="B103" t="n">
        <v>-3.63</v>
      </c>
      <c r="C103" t="n">
        <v>821</v>
      </c>
      <c r="D103" t="inlineStr">
        <is>
          <t>&lt; .001</t>
        </is>
      </c>
      <c r="E103" t="n">
        <v>-0.25</v>
      </c>
      <c r="F103" t="inlineStr">
        <is>
          <t>[-0.39, -0.12]</t>
        </is>
      </c>
      <c r="G103" t="inlineStr">
        <is>
          <t>&lt; .001</t>
        </is>
      </c>
      <c r="H103" t="inlineStr">
        <is>
          <t>✓</t>
        </is>
      </c>
    </row>
    <row r="104">
      <c r="A104" t="inlineStr">
        <is>
          <t>R_AVI_ROI</t>
        </is>
      </c>
      <c r="B104" t="n">
        <v>-4.33</v>
      </c>
      <c r="C104" t="n">
        <v>821</v>
      </c>
      <c r="D104" t="inlineStr">
        <is>
          <t>&lt; .001</t>
        </is>
      </c>
      <c r="E104" t="n">
        <v>-0.3</v>
      </c>
      <c r="F104" t="inlineStr">
        <is>
          <t>[-0.44, -0.16]</t>
        </is>
      </c>
      <c r="G104" t="inlineStr">
        <is>
          <t>&lt; .001</t>
        </is>
      </c>
      <c r="H104" t="inlineStr">
        <is>
          <t>✓</t>
        </is>
      </c>
    </row>
    <row r="105">
      <c r="A105" t="inlineStr">
        <is>
          <t>R_AAIC_ROI</t>
        </is>
      </c>
      <c r="B105" t="n">
        <v>-2.51</v>
      </c>
      <c r="C105" t="n">
        <v>821</v>
      </c>
      <c r="D105">
        <f> 0.012</f>
        <v/>
      </c>
      <c r="E105" t="n">
        <v>-0.17</v>
      </c>
      <c r="F105" t="inlineStr">
        <is>
          <t>[-0.31, -0.04]</t>
        </is>
      </c>
      <c r="G105">
        <f> 0.015</f>
        <v/>
      </c>
      <c r="H105" t="inlineStr">
        <is>
          <t>✓</t>
        </is>
      </c>
    </row>
    <row r="106">
      <c r="A106" t="inlineStr">
        <is>
          <t>R_FOP1_ROI</t>
        </is>
      </c>
      <c r="B106" t="n">
        <v>-4.73</v>
      </c>
      <c r="C106" t="n">
        <v>821</v>
      </c>
      <c r="D106" t="inlineStr">
        <is>
          <t>&lt; .001</t>
        </is>
      </c>
      <c r="E106" t="n">
        <v>-0.33</v>
      </c>
      <c r="F106" t="inlineStr">
        <is>
          <t>[-0.47, -0.19]</t>
        </is>
      </c>
      <c r="G106" t="inlineStr">
        <is>
          <t>&lt; .001</t>
        </is>
      </c>
      <c r="H106" t="inlineStr">
        <is>
          <t>✓</t>
        </is>
      </c>
    </row>
    <row r="107">
      <c r="A107" t="inlineStr">
        <is>
          <t>R_FOP3_ROI</t>
        </is>
      </c>
      <c r="B107" t="n">
        <v>-3.63</v>
      </c>
      <c r="C107" t="n">
        <v>821</v>
      </c>
      <c r="D107" t="inlineStr">
        <is>
          <t>&lt; .001</t>
        </is>
      </c>
      <c r="E107" t="n">
        <v>-0.25</v>
      </c>
      <c r="F107" t="inlineStr">
        <is>
          <t>[-0.39, -0.12]</t>
        </is>
      </c>
      <c r="G107" t="inlineStr">
        <is>
          <t>&lt; .001</t>
        </is>
      </c>
      <c r="H107" t="inlineStr">
        <is>
          <t>✓</t>
        </is>
      </c>
    </row>
    <row r="108">
      <c r="A108" t="inlineStr">
        <is>
          <t>R_FOP2_ROI</t>
        </is>
      </c>
      <c r="B108" t="n">
        <v>-3.17</v>
      </c>
      <c r="C108" t="n">
        <v>821</v>
      </c>
      <c r="D108">
        <f> 0.002</f>
        <v/>
      </c>
      <c r="E108" t="n">
        <v>-0.22</v>
      </c>
      <c r="F108" t="inlineStr">
        <is>
          <t>[-0.36, -0.08]</t>
        </is>
      </c>
      <c r="G108">
        <f> 0.002</f>
        <v/>
      </c>
      <c r="H108" t="inlineStr">
        <is>
          <t>✓</t>
        </is>
      </c>
    </row>
    <row r="109">
      <c r="A109" t="inlineStr">
        <is>
          <t>R_PFt_ROI</t>
        </is>
      </c>
      <c r="B109" t="n">
        <v>-4.93</v>
      </c>
      <c r="C109" t="n">
        <v>821</v>
      </c>
      <c r="D109" t="inlineStr">
        <is>
          <t>&lt; .001</t>
        </is>
      </c>
      <c r="E109" t="n">
        <v>-0.34</v>
      </c>
      <c r="F109" t="inlineStr">
        <is>
          <t>[-0.48, -0.21]</t>
        </is>
      </c>
      <c r="G109" t="inlineStr">
        <is>
          <t>&lt; .001</t>
        </is>
      </c>
      <c r="H109" t="inlineStr">
        <is>
          <t>✓</t>
        </is>
      </c>
    </row>
    <row r="110">
      <c r="A110" t="inlineStr">
        <is>
          <t>R_AIP_ROI</t>
        </is>
      </c>
      <c r="B110" t="n">
        <v>-5.84</v>
      </c>
      <c r="C110" t="n">
        <v>821</v>
      </c>
      <c r="D110" t="inlineStr">
        <is>
          <t>&lt; .001</t>
        </is>
      </c>
      <c r="E110" t="n">
        <v>-0.41</v>
      </c>
      <c r="F110" t="inlineStr">
        <is>
          <t>[-0.55, -0.27]</t>
        </is>
      </c>
      <c r="G110" t="inlineStr">
        <is>
          <t>&lt; .001</t>
        </is>
      </c>
      <c r="H110" t="inlineStr">
        <is>
          <t>✓</t>
        </is>
      </c>
    </row>
    <row r="111">
      <c r="A111" t="inlineStr">
        <is>
          <t>R_PreS_ROI</t>
        </is>
      </c>
      <c r="B111" t="n">
        <v>-2.02</v>
      </c>
      <c r="C111" t="n">
        <v>821</v>
      </c>
      <c r="D111">
        <f> 0.043</f>
        <v/>
      </c>
      <c r="E111" t="n">
        <v>-0.14</v>
      </c>
      <c r="F111" t="inlineStr">
        <is>
          <t>[-0.28, -0.00]</t>
        </is>
      </c>
      <c r="G111">
        <f> 0.048</f>
        <v/>
      </c>
      <c r="H111" t="inlineStr">
        <is>
          <t>✓</t>
        </is>
      </c>
    </row>
    <row r="112">
      <c r="A112" t="inlineStr">
        <is>
          <t>R_H_ROI</t>
        </is>
      </c>
      <c r="B112" t="n">
        <v>-3.9</v>
      </c>
      <c r="C112" t="n">
        <v>821</v>
      </c>
      <c r="D112" t="inlineStr">
        <is>
          <t>&lt; .001</t>
        </is>
      </c>
      <c r="E112" t="n">
        <v>-0.27</v>
      </c>
      <c r="F112" t="inlineStr">
        <is>
          <t>[-0.41, -0.13]</t>
        </is>
      </c>
      <c r="G112" t="inlineStr">
        <is>
          <t>&lt; .001</t>
        </is>
      </c>
      <c r="H112" t="inlineStr">
        <is>
          <t>✓</t>
        </is>
      </c>
    </row>
    <row r="113">
      <c r="A113" t="inlineStr">
        <is>
          <t>R_ProS_ROI</t>
        </is>
      </c>
      <c r="B113" t="n">
        <v>-3.28</v>
      </c>
      <c r="C113" t="n">
        <v>821</v>
      </c>
      <c r="D113">
        <f> 0.001</f>
        <v/>
      </c>
      <c r="E113" t="n">
        <v>-0.23</v>
      </c>
      <c r="F113" t="inlineStr">
        <is>
          <t>[-0.37, -0.09]</t>
        </is>
      </c>
      <c r="G113">
        <f> 0.002</f>
        <v/>
      </c>
      <c r="H113" t="inlineStr">
        <is>
          <t>✓</t>
        </is>
      </c>
    </row>
    <row r="114">
      <c r="A114" t="inlineStr">
        <is>
          <t>R_PeEc_ROI</t>
        </is>
      </c>
      <c r="B114" t="n">
        <v>-3.46</v>
      </c>
      <c r="C114" t="n">
        <v>821</v>
      </c>
      <c r="D114" t="inlineStr">
        <is>
          <t>&lt; .001</t>
        </is>
      </c>
      <c r="E114" t="n">
        <v>-0.24</v>
      </c>
      <c r="F114" t="inlineStr">
        <is>
          <t>[-0.38, -0.10]</t>
        </is>
      </c>
      <c r="G114" t="inlineStr">
        <is>
          <t>&lt; .001</t>
        </is>
      </c>
      <c r="H114" t="inlineStr">
        <is>
          <t>✓</t>
        </is>
      </c>
    </row>
    <row r="115">
      <c r="A115" t="inlineStr">
        <is>
          <t>R_STGa_ROI</t>
        </is>
      </c>
      <c r="B115" t="n">
        <v>-3.1</v>
      </c>
      <c r="C115" t="n">
        <v>821</v>
      </c>
      <c r="D115">
        <f> 0.002</f>
        <v/>
      </c>
      <c r="E115" t="n">
        <v>-0.22</v>
      </c>
      <c r="F115" t="inlineStr">
        <is>
          <t>[-0.35, -0.08]</t>
        </is>
      </c>
      <c r="G115">
        <f> 0.003</f>
        <v/>
      </c>
      <c r="H115" t="inlineStr">
        <is>
          <t>✓</t>
        </is>
      </c>
    </row>
    <row r="116">
      <c r="A116" t="inlineStr">
        <is>
          <t>R_PBelt_ROI</t>
        </is>
      </c>
      <c r="B116" t="n">
        <v>-4.23</v>
      </c>
      <c r="C116" t="n">
        <v>821</v>
      </c>
      <c r="D116" t="inlineStr">
        <is>
          <t>&lt; .001</t>
        </is>
      </c>
      <c r="E116" t="n">
        <v>-0.3</v>
      </c>
      <c r="F116" t="inlineStr">
        <is>
          <t>[-0.43, -0.16]</t>
        </is>
      </c>
      <c r="G116" t="inlineStr">
        <is>
          <t>&lt; .001</t>
        </is>
      </c>
      <c r="H116" t="inlineStr">
        <is>
          <t>✓</t>
        </is>
      </c>
    </row>
    <row r="117">
      <c r="A117" t="inlineStr">
        <is>
          <t>R_A5_ROI</t>
        </is>
      </c>
      <c r="B117" t="n">
        <v>-3.25</v>
      </c>
      <c r="C117" t="n">
        <v>821</v>
      </c>
      <c r="D117">
        <f> 0.001</f>
        <v/>
      </c>
      <c r="E117" t="n">
        <v>-0.23</v>
      </c>
      <c r="F117" t="inlineStr">
        <is>
          <t>[-0.36, -0.09]</t>
        </is>
      </c>
      <c r="G117">
        <f> 0.002</f>
        <v/>
      </c>
      <c r="H117" t="inlineStr">
        <is>
          <t>✓</t>
        </is>
      </c>
    </row>
    <row r="118">
      <c r="A118" t="inlineStr">
        <is>
          <t>R_PHA1_ROI</t>
        </is>
      </c>
      <c r="B118" t="n">
        <v>-3.24</v>
      </c>
      <c r="C118" t="n">
        <v>821</v>
      </c>
      <c r="D118">
        <f> 0.001</f>
        <v/>
      </c>
      <c r="E118" t="n">
        <v>-0.23</v>
      </c>
      <c r="F118" t="inlineStr">
        <is>
          <t>[-0.36, -0.09]</t>
        </is>
      </c>
      <c r="G118">
        <f> 0.002</f>
        <v/>
      </c>
      <c r="H118" t="inlineStr">
        <is>
          <t>✓</t>
        </is>
      </c>
    </row>
    <row r="119">
      <c r="A119" t="inlineStr">
        <is>
          <t>R_PHA3_ROI</t>
        </is>
      </c>
      <c r="B119" t="n">
        <v>-3.88</v>
      </c>
      <c r="C119" t="n">
        <v>821</v>
      </c>
      <c r="D119" t="inlineStr">
        <is>
          <t>&lt; .001</t>
        </is>
      </c>
      <c r="E119" t="n">
        <v>-0.27</v>
      </c>
      <c r="F119" t="inlineStr">
        <is>
          <t>[-0.41, -0.13]</t>
        </is>
      </c>
      <c r="G119" t="inlineStr">
        <is>
          <t>&lt; .001</t>
        </is>
      </c>
      <c r="H119" t="inlineStr">
        <is>
          <t>✓</t>
        </is>
      </c>
    </row>
    <row r="120">
      <c r="A120" t="inlineStr">
        <is>
          <t>R_STSda_ROI</t>
        </is>
      </c>
      <c r="B120" t="n">
        <v>-2.69</v>
      </c>
      <c r="C120" t="n">
        <v>821</v>
      </c>
      <c r="D120">
        <f> 0.007</f>
        <v/>
      </c>
      <c r="E120" t="n">
        <v>-0.19</v>
      </c>
      <c r="F120" t="inlineStr">
        <is>
          <t>[-0.32, -0.05]</t>
        </is>
      </c>
      <c r="G120">
        <f> 0.009</f>
        <v/>
      </c>
      <c r="H120" t="inlineStr">
        <is>
          <t>✓</t>
        </is>
      </c>
    </row>
    <row r="121">
      <c r="A121" t="inlineStr">
        <is>
          <t>R_STSdp_ROI</t>
        </is>
      </c>
      <c r="B121" t="n">
        <v>-4.01</v>
      </c>
      <c r="C121" t="n">
        <v>821</v>
      </c>
      <c r="D121" t="inlineStr">
        <is>
          <t>&lt; .001</t>
        </is>
      </c>
      <c r="E121" t="n">
        <v>-0.28</v>
      </c>
      <c r="F121" t="inlineStr">
        <is>
          <t>[-0.42, -0.14]</t>
        </is>
      </c>
      <c r="G121" t="inlineStr">
        <is>
          <t>&lt; .001</t>
        </is>
      </c>
      <c r="H121" t="inlineStr">
        <is>
          <t>✓</t>
        </is>
      </c>
    </row>
    <row r="122">
      <c r="A122" t="inlineStr">
        <is>
          <t>R_STSvp_ROI</t>
        </is>
      </c>
      <c r="B122" t="n">
        <v>-4.33</v>
      </c>
      <c r="C122" t="n">
        <v>821</v>
      </c>
      <c r="D122" t="inlineStr">
        <is>
          <t>&lt; .001</t>
        </is>
      </c>
      <c r="E122" t="n">
        <v>-0.3</v>
      </c>
      <c r="F122" t="inlineStr">
        <is>
          <t>[-0.44, -0.16]</t>
        </is>
      </c>
      <c r="G122" t="inlineStr">
        <is>
          <t>&lt; .001</t>
        </is>
      </c>
      <c r="H122" t="inlineStr">
        <is>
          <t>✓</t>
        </is>
      </c>
    </row>
    <row r="123">
      <c r="A123" t="inlineStr">
        <is>
          <t>R_TGd_ROI</t>
        </is>
      </c>
      <c r="B123" t="n">
        <v>-2.85</v>
      </c>
      <c r="C123" t="n">
        <v>821</v>
      </c>
      <c r="D123">
        <f> 0.004</f>
        <v/>
      </c>
      <c r="E123" t="n">
        <v>-0.2</v>
      </c>
      <c r="F123" t="inlineStr">
        <is>
          <t>[-0.34, -0.06]</t>
        </is>
      </c>
      <c r="G123">
        <f> 0.006</f>
        <v/>
      </c>
      <c r="H123" t="inlineStr">
        <is>
          <t>✓</t>
        </is>
      </c>
    </row>
    <row r="124">
      <c r="A124" t="inlineStr">
        <is>
          <t>R_TE1a_ROI</t>
        </is>
      </c>
      <c r="B124" t="n">
        <v>-3.68</v>
      </c>
      <c r="C124" t="n">
        <v>821</v>
      </c>
      <c r="D124" t="inlineStr">
        <is>
          <t>&lt; .001</t>
        </is>
      </c>
      <c r="E124" t="n">
        <v>-0.26</v>
      </c>
      <c r="F124" t="inlineStr">
        <is>
          <t>[-0.39, -0.12]</t>
        </is>
      </c>
      <c r="G124" t="inlineStr">
        <is>
          <t>&lt; .001</t>
        </is>
      </c>
      <c r="H124" t="inlineStr">
        <is>
          <t>✓</t>
        </is>
      </c>
    </row>
    <row r="125">
      <c r="A125" t="inlineStr">
        <is>
          <t>R_TE1p_ROI</t>
        </is>
      </c>
      <c r="B125" t="n">
        <v>-4.06</v>
      </c>
      <c r="C125" t="n">
        <v>821</v>
      </c>
      <c r="D125" t="inlineStr">
        <is>
          <t>&lt; .001</t>
        </is>
      </c>
      <c r="E125" t="n">
        <v>-0.28</v>
      </c>
      <c r="F125" t="inlineStr">
        <is>
          <t>[-0.42, -0.15]</t>
        </is>
      </c>
      <c r="G125" t="inlineStr">
        <is>
          <t>&lt; .001</t>
        </is>
      </c>
      <c r="H125" t="inlineStr">
        <is>
          <t>✓</t>
        </is>
      </c>
    </row>
    <row r="126">
      <c r="A126" t="inlineStr">
        <is>
          <t>R_TE2a_ROI</t>
        </is>
      </c>
      <c r="B126" t="n">
        <v>-3.31</v>
      </c>
      <c r="C126" t="n">
        <v>821</v>
      </c>
      <c r="D126" t="inlineStr">
        <is>
          <t>&lt; .001</t>
        </is>
      </c>
      <c r="E126" t="n">
        <v>-0.23</v>
      </c>
      <c r="F126" t="inlineStr">
        <is>
          <t>[-0.37, -0.09]</t>
        </is>
      </c>
      <c r="G126">
        <f> 0.002</f>
        <v/>
      </c>
      <c r="H126" t="inlineStr">
        <is>
          <t>✓</t>
        </is>
      </c>
    </row>
    <row r="127">
      <c r="A127" t="inlineStr">
        <is>
          <t>R_TF_ROI</t>
        </is>
      </c>
      <c r="B127" t="n">
        <v>-3.3</v>
      </c>
      <c r="C127" t="n">
        <v>821</v>
      </c>
      <c r="D127" t="inlineStr">
        <is>
          <t>&lt; .001</t>
        </is>
      </c>
      <c r="E127" t="n">
        <v>-0.23</v>
      </c>
      <c r="F127" t="inlineStr">
        <is>
          <t>[-0.37, -0.09]</t>
        </is>
      </c>
      <c r="G127">
        <f> 0.002</f>
        <v/>
      </c>
      <c r="H127" t="inlineStr">
        <is>
          <t>✓</t>
        </is>
      </c>
    </row>
    <row r="128">
      <c r="A128" t="inlineStr">
        <is>
          <t>R_PHT_ROI</t>
        </is>
      </c>
      <c r="B128" t="n">
        <v>-4.62</v>
      </c>
      <c r="C128" t="n">
        <v>821</v>
      </c>
      <c r="D128" t="inlineStr">
        <is>
          <t>&lt; .001</t>
        </is>
      </c>
      <c r="E128" t="n">
        <v>-0.32</v>
      </c>
      <c r="F128" t="inlineStr">
        <is>
          <t>[-0.46, -0.18]</t>
        </is>
      </c>
      <c r="G128" t="inlineStr">
        <is>
          <t>&lt; .001</t>
        </is>
      </c>
      <c r="H128" t="inlineStr">
        <is>
          <t>✓</t>
        </is>
      </c>
    </row>
    <row r="129">
      <c r="A129" t="inlineStr">
        <is>
          <t>R_PH_ROI</t>
        </is>
      </c>
      <c r="B129" t="n">
        <v>-3.39</v>
      </c>
      <c r="C129" t="n">
        <v>821</v>
      </c>
      <c r="D129" t="inlineStr">
        <is>
          <t>&lt; .001</t>
        </is>
      </c>
      <c r="E129" t="n">
        <v>-0.24</v>
      </c>
      <c r="F129" t="inlineStr">
        <is>
          <t>[-0.37, -0.10]</t>
        </is>
      </c>
      <c r="G129">
        <f> 0.001</f>
        <v/>
      </c>
      <c r="H129" t="inlineStr">
        <is>
          <t>✓</t>
        </is>
      </c>
    </row>
    <row r="130">
      <c r="A130" t="inlineStr">
        <is>
          <t>R_TPOJ1_ROI</t>
        </is>
      </c>
      <c r="B130" t="n">
        <v>-4.39</v>
      </c>
      <c r="C130" t="n">
        <v>821</v>
      </c>
      <c r="D130" t="inlineStr">
        <is>
          <t>&lt; .001</t>
        </is>
      </c>
      <c r="E130" t="n">
        <v>-0.31</v>
      </c>
      <c r="F130" t="inlineStr">
        <is>
          <t>[-0.44, -0.17]</t>
        </is>
      </c>
      <c r="G130" t="inlineStr">
        <is>
          <t>&lt; .001</t>
        </is>
      </c>
      <c r="H130" t="inlineStr">
        <is>
          <t>✓</t>
        </is>
      </c>
    </row>
    <row r="131">
      <c r="A131" t="inlineStr">
        <is>
          <t>R_TPOJ2_ROI</t>
        </is>
      </c>
      <c r="B131" t="n">
        <v>-3.59</v>
      </c>
      <c r="C131" t="n">
        <v>821</v>
      </c>
      <c r="D131" t="inlineStr">
        <is>
          <t>&lt; .001</t>
        </is>
      </c>
      <c r="E131" t="n">
        <v>-0.25</v>
      </c>
      <c r="F131" t="inlineStr">
        <is>
          <t>[-0.39, -0.11]</t>
        </is>
      </c>
      <c r="G131" t="inlineStr">
        <is>
          <t>&lt; .001</t>
        </is>
      </c>
      <c r="H131" t="inlineStr">
        <is>
          <t>✓</t>
        </is>
      </c>
    </row>
    <row r="132">
      <c r="A132" t="inlineStr">
        <is>
          <t>R_DVT_ROI</t>
        </is>
      </c>
      <c r="B132" t="n">
        <v>-4.83</v>
      </c>
      <c r="C132" t="n">
        <v>821</v>
      </c>
      <c r="D132" t="inlineStr">
        <is>
          <t>&lt; .001</t>
        </is>
      </c>
      <c r="E132" t="n">
        <v>-0.34</v>
      </c>
      <c r="F132" t="inlineStr">
        <is>
          <t>[-0.47, -0.20]</t>
        </is>
      </c>
      <c r="G132" t="inlineStr">
        <is>
          <t>&lt; .001</t>
        </is>
      </c>
      <c r="H132" t="inlineStr">
        <is>
          <t>✓</t>
        </is>
      </c>
    </row>
    <row r="133">
      <c r="A133" t="inlineStr">
        <is>
          <t>R_PGp_ROI</t>
        </is>
      </c>
      <c r="B133" t="n">
        <v>-3.72</v>
      </c>
      <c r="C133" t="n">
        <v>821</v>
      </c>
      <c r="D133" t="inlineStr">
        <is>
          <t>&lt; .001</t>
        </is>
      </c>
      <c r="E133" t="n">
        <v>-0.26</v>
      </c>
      <c r="F133" t="inlineStr">
        <is>
          <t>[-0.40, -0.12]</t>
        </is>
      </c>
      <c r="G133" t="inlineStr">
        <is>
          <t>&lt; .001</t>
        </is>
      </c>
      <c r="H133" t="inlineStr">
        <is>
          <t>✓</t>
        </is>
      </c>
    </row>
    <row r="134">
      <c r="A134" t="inlineStr">
        <is>
          <t>R_IP2_ROI</t>
        </is>
      </c>
      <c r="B134" t="n">
        <v>-5.05</v>
      </c>
      <c r="C134" t="n">
        <v>821</v>
      </c>
      <c r="D134" t="inlineStr">
        <is>
          <t>&lt; .001</t>
        </is>
      </c>
      <c r="E134" t="n">
        <v>-0.35</v>
      </c>
      <c r="F134" t="inlineStr">
        <is>
          <t>[-0.49, -0.21]</t>
        </is>
      </c>
      <c r="G134" t="inlineStr">
        <is>
          <t>&lt; .001</t>
        </is>
      </c>
      <c r="H134" t="inlineStr">
        <is>
          <t>✓</t>
        </is>
      </c>
    </row>
    <row r="135">
      <c r="A135" t="inlineStr">
        <is>
          <t>R_IP1_ROI</t>
        </is>
      </c>
      <c r="B135" t="n">
        <v>-4.58</v>
      </c>
      <c r="C135" t="n">
        <v>821</v>
      </c>
      <c r="D135" t="inlineStr">
        <is>
          <t>&lt; .001</t>
        </is>
      </c>
      <c r="E135" t="n">
        <v>-0.32</v>
      </c>
      <c r="F135" t="inlineStr">
        <is>
          <t>[-0.46, -0.18]</t>
        </is>
      </c>
      <c r="G135" t="inlineStr">
        <is>
          <t>&lt; .001</t>
        </is>
      </c>
      <c r="H135" t="inlineStr">
        <is>
          <t>✓</t>
        </is>
      </c>
    </row>
    <row r="136">
      <c r="A136" t="inlineStr">
        <is>
          <t>R_IP0_ROI</t>
        </is>
      </c>
      <c r="B136" t="n">
        <v>-2.87</v>
      </c>
      <c r="C136" t="n">
        <v>821</v>
      </c>
      <c r="D136">
        <f> 0.004</f>
        <v/>
      </c>
      <c r="E136" t="n">
        <v>-0.2</v>
      </c>
      <c r="F136" t="inlineStr">
        <is>
          <t>[-0.34, -0.06]</t>
        </is>
      </c>
      <c r="G136">
        <f> 0.006</f>
        <v/>
      </c>
      <c r="H136" t="inlineStr">
        <is>
          <t>✓</t>
        </is>
      </c>
    </row>
    <row r="137">
      <c r="A137" t="inlineStr">
        <is>
          <t>R_PFop_ROI</t>
        </is>
      </c>
      <c r="B137" t="n">
        <v>-4.62</v>
      </c>
      <c r="C137" t="n">
        <v>821</v>
      </c>
      <c r="D137" t="inlineStr">
        <is>
          <t>&lt; .001</t>
        </is>
      </c>
      <c r="E137" t="n">
        <v>-0.32</v>
      </c>
      <c r="F137" t="inlineStr">
        <is>
          <t>[-0.46, -0.18]</t>
        </is>
      </c>
      <c r="G137" t="inlineStr">
        <is>
          <t>&lt; .001</t>
        </is>
      </c>
      <c r="H137" t="inlineStr">
        <is>
          <t>✓</t>
        </is>
      </c>
    </row>
    <row r="138">
      <c r="A138" t="inlineStr">
        <is>
          <t>R_PF_ROI</t>
        </is>
      </c>
      <c r="B138" t="n">
        <v>-6.18</v>
      </c>
      <c r="C138" t="n">
        <v>821</v>
      </c>
      <c r="D138" t="inlineStr">
        <is>
          <t>&lt; .001</t>
        </is>
      </c>
      <c r="E138" t="n">
        <v>-0.43</v>
      </c>
      <c r="F138" t="inlineStr">
        <is>
          <t>[-0.57, -0.29]</t>
        </is>
      </c>
      <c r="G138" t="inlineStr">
        <is>
          <t>&lt; .001</t>
        </is>
      </c>
      <c r="H138" t="inlineStr">
        <is>
          <t>✓</t>
        </is>
      </c>
    </row>
    <row r="139">
      <c r="A139" t="inlineStr">
        <is>
          <t>R_PFm_ROI</t>
        </is>
      </c>
      <c r="B139" t="n">
        <v>-5.81</v>
      </c>
      <c r="C139" t="n">
        <v>821</v>
      </c>
      <c r="D139" t="inlineStr">
        <is>
          <t>&lt; .001</t>
        </is>
      </c>
      <c r="E139" t="n">
        <v>-0.41</v>
      </c>
      <c r="F139" t="inlineStr">
        <is>
          <t>[-0.54, -0.27]</t>
        </is>
      </c>
      <c r="G139" t="inlineStr">
        <is>
          <t>&lt; .001</t>
        </is>
      </c>
      <c r="H139" t="inlineStr">
        <is>
          <t>✓</t>
        </is>
      </c>
    </row>
    <row r="140">
      <c r="A140" t="inlineStr">
        <is>
          <t>R_PGi_ROI</t>
        </is>
      </c>
      <c r="B140" t="n">
        <v>-4.47</v>
      </c>
      <c r="C140" t="n">
        <v>821</v>
      </c>
      <c r="D140" t="inlineStr">
        <is>
          <t>&lt; .001</t>
        </is>
      </c>
      <c r="E140" t="n">
        <v>-0.31</v>
      </c>
      <c r="F140" t="inlineStr">
        <is>
          <t>[-0.45, -0.17]</t>
        </is>
      </c>
      <c r="G140" t="inlineStr">
        <is>
          <t>&lt; .001</t>
        </is>
      </c>
      <c r="H140" t="inlineStr">
        <is>
          <t>✓</t>
        </is>
      </c>
    </row>
    <row r="141">
      <c r="A141" t="inlineStr">
        <is>
          <t>R_PGs_ROI</t>
        </is>
      </c>
      <c r="B141" t="n">
        <v>-5.97</v>
      </c>
      <c r="C141" t="n">
        <v>821</v>
      </c>
      <c r="D141" t="inlineStr">
        <is>
          <t>&lt; .001</t>
        </is>
      </c>
      <c r="E141" t="n">
        <v>-0.42</v>
      </c>
      <c r="F141" t="inlineStr">
        <is>
          <t>[-0.55, -0.28]</t>
        </is>
      </c>
      <c r="G141" t="inlineStr">
        <is>
          <t>&lt; .001</t>
        </is>
      </c>
      <c r="H141" t="inlineStr">
        <is>
          <t>✓</t>
        </is>
      </c>
    </row>
    <row r="142">
      <c r="A142" t="inlineStr">
        <is>
          <t>R_V6A_ROI</t>
        </is>
      </c>
      <c r="B142" t="n">
        <v>-2.51</v>
      </c>
      <c r="C142" t="n">
        <v>821</v>
      </c>
      <c r="D142">
        <f> 0.012</f>
        <v/>
      </c>
      <c r="E142" t="n">
        <v>-0.17</v>
      </c>
      <c r="F142" t="inlineStr">
        <is>
          <t>[-0.31, -0.04]</t>
        </is>
      </c>
      <c r="G142">
        <f> 0.015</f>
        <v/>
      </c>
      <c r="H142" t="inlineStr">
        <is>
          <t>✓</t>
        </is>
      </c>
    </row>
    <row r="143">
      <c r="A143" t="inlineStr">
        <is>
          <t>R_VMV1_ROI</t>
        </is>
      </c>
      <c r="B143" t="n">
        <v>-4.59</v>
      </c>
      <c r="C143" t="n">
        <v>821</v>
      </c>
      <c r="D143" t="inlineStr">
        <is>
          <t>&lt; .001</t>
        </is>
      </c>
      <c r="E143" t="n">
        <v>-0.32</v>
      </c>
      <c r="F143" t="inlineStr">
        <is>
          <t>[-0.46, -0.18]</t>
        </is>
      </c>
      <c r="G143" t="inlineStr">
        <is>
          <t>&lt; .001</t>
        </is>
      </c>
      <c r="H143" t="inlineStr">
        <is>
          <t>✓</t>
        </is>
      </c>
    </row>
    <row r="144">
      <c r="A144" t="inlineStr">
        <is>
          <t>R_VMV3_ROI</t>
        </is>
      </c>
      <c r="B144" t="n">
        <v>-4.32</v>
      </c>
      <c r="C144" t="n">
        <v>821</v>
      </c>
      <c r="D144" t="inlineStr">
        <is>
          <t>&lt; .001</t>
        </is>
      </c>
      <c r="E144" t="n">
        <v>-0.3</v>
      </c>
      <c r="F144" t="inlineStr">
        <is>
          <t>[-0.44, -0.16]</t>
        </is>
      </c>
      <c r="G144" t="inlineStr">
        <is>
          <t>&lt; .001</t>
        </is>
      </c>
      <c r="H144" t="inlineStr">
        <is>
          <t>✓</t>
        </is>
      </c>
    </row>
    <row r="145">
      <c r="A145" t="inlineStr">
        <is>
          <t>R_PHA2_ROI</t>
        </is>
      </c>
      <c r="B145" t="n">
        <v>-3.68</v>
      </c>
      <c r="C145" t="n">
        <v>821</v>
      </c>
      <c r="D145" t="inlineStr">
        <is>
          <t>&lt; .001</t>
        </is>
      </c>
      <c r="E145" t="n">
        <v>-0.26</v>
      </c>
      <c r="F145" t="inlineStr">
        <is>
          <t>[-0.39, -0.12]</t>
        </is>
      </c>
      <c r="G145" t="inlineStr">
        <is>
          <t>&lt; .001</t>
        </is>
      </c>
      <c r="H145" t="inlineStr">
        <is>
          <t>✓</t>
        </is>
      </c>
    </row>
    <row r="146">
      <c r="A146" t="inlineStr">
        <is>
          <t>R_V4t_ROI</t>
        </is>
      </c>
      <c r="B146" t="n">
        <v>-2.22</v>
      </c>
      <c r="C146" t="n">
        <v>821</v>
      </c>
      <c r="D146">
        <f> 0.027</f>
        <v/>
      </c>
      <c r="E146" t="n">
        <v>-0.15</v>
      </c>
      <c r="F146" t="inlineStr">
        <is>
          <t>[-0.29, -0.02]</t>
        </is>
      </c>
      <c r="G146">
        <f> 0.031</f>
        <v/>
      </c>
      <c r="H146" t="inlineStr">
        <is>
          <t>✓</t>
        </is>
      </c>
    </row>
    <row r="147">
      <c r="A147" t="inlineStr">
        <is>
          <t>R_FST_ROI</t>
        </is>
      </c>
      <c r="B147" t="n">
        <v>-4.44</v>
      </c>
      <c r="C147" t="n">
        <v>821</v>
      </c>
      <c r="D147" t="inlineStr">
        <is>
          <t>&lt; .001</t>
        </is>
      </c>
      <c r="E147" t="n">
        <v>-0.31</v>
      </c>
      <c r="F147" t="inlineStr">
        <is>
          <t>[-0.45, -0.17]</t>
        </is>
      </c>
      <c r="G147" t="inlineStr">
        <is>
          <t>&lt; .001</t>
        </is>
      </c>
      <c r="H147" t="inlineStr">
        <is>
          <t>✓</t>
        </is>
      </c>
    </row>
    <row r="148">
      <c r="A148" t="inlineStr">
        <is>
          <t>R_V3CD_ROI</t>
        </is>
      </c>
      <c r="B148" t="n">
        <v>-3.78</v>
      </c>
      <c r="C148" t="n">
        <v>821</v>
      </c>
      <c r="D148" t="inlineStr">
        <is>
          <t>&lt; .001</t>
        </is>
      </c>
      <c r="E148" t="n">
        <v>-0.26</v>
      </c>
      <c r="F148" t="inlineStr">
        <is>
          <t>[-0.40, -0.13]</t>
        </is>
      </c>
      <c r="G148" t="inlineStr">
        <is>
          <t>&lt; .001</t>
        </is>
      </c>
      <c r="H148" t="inlineStr">
        <is>
          <t>✓</t>
        </is>
      </c>
    </row>
    <row r="149">
      <c r="A149" t="inlineStr">
        <is>
          <t>R_LO3_ROI</t>
        </is>
      </c>
      <c r="B149" t="n">
        <v>-3.55</v>
      </c>
      <c r="C149" t="n">
        <v>821</v>
      </c>
      <c r="D149" t="inlineStr">
        <is>
          <t>&lt; .001</t>
        </is>
      </c>
      <c r="E149" t="n">
        <v>-0.25</v>
      </c>
      <c r="F149" t="inlineStr">
        <is>
          <t>[-0.38, -0.11]</t>
        </is>
      </c>
      <c r="G149" t="inlineStr">
        <is>
          <t>&lt; .001</t>
        </is>
      </c>
      <c r="H149" t="inlineStr">
        <is>
          <t>✓</t>
        </is>
      </c>
    </row>
    <row r="150">
      <c r="A150" t="inlineStr">
        <is>
          <t>R_VMV2_ROI</t>
        </is>
      </c>
      <c r="B150" t="n">
        <v>-4.54</v>
      </c>
      <c r="C150" t="n">
        <v>821</v>
      </c>
      <c r="D150" t="inlineStr">
        <is>
          <t>&lt; .001</t>
        </is>
      </c>
      <c r="E150" t="n">
        <v>-0.32</v>
      </c>
      <c r="F150" t="inlineStr">
        <is>
          <t>[-0.45, -0.18]</t>
        </is>
      </c>
      <c r="G150" t="inlineStr">
        <is>
          <t>&lt; .001</t>
        </is>
      </c>
      <c r="H150" t="inlineStr">
        <is>
          <t>✓</t>
        </is>
      </c>
    </row>
    <row r="151">
      <c r="A151" t="inlineStr">
        <is>
          <t>R_31pd_ROI</t>
        </is>
      </c>
      <c r="B151" t="n">
        <v>-3.56</v>
      </c>
      <c r="C151" t="n">
        <v>821</v>
      </c>
      <c r="D151" t="inlineStr">
        <is>
          <t>&lt; .001</t>
        </is>
      </c>
      <c r="E151" t="n">
        <v>-0.25</v>
      </c>
      <c r="F151" t="inlineStr">
        <is>
          <t>[-0.39, -0.11]</t>
        </is>
      </c>
      <c r="G151" t="inlineStr">
        <is>
          <t>&lt; .001</t>
        </is>
      </c>
      <c r="H151" t="inlineStr">
        <is>
          <t>✓</t>
        </is>
      </c>
    </row>
    <row r="152">
      <c r="A152" t="inlineStr">
        <is>
          <t>R_31a_ROI</t>
        </is>
      </c>
      <c r="B152" t="n">
        <v>-3.66</v>
      </c>
      <c r="C152" t="n">
        <v>821</v>
      </c>
      <c r="D152" t="inlineStr">
        <is>
          <t>&lt; .001</t>
        </is>
      </c>
      <c r="E152" t="n">
        <v>-0.25</v>
      </c>
      <c r="F152" t="inlineStr">
        <is>
          <t>[-0.39, -0.12]</t>
        </is>
      </c>
      <c r="G152" t="inlineStr">
        <is>
          <t>&lt; .001</t>
        </is>
      </c>
      <c r="H152" t="inlineStr">
        <is>
          <t>✓</t>
        </is>
      </c>
    </row>
    <row r="153">
      <c r="A153" t="inlineStr">
        <is>
          <t>R_VVC_ROI</t>
        </is>
      </c>
      <c r="B153" t="n">
        <v>-4.15</v>
      </c>
      <c r="C153" t="n">
        <v>821</v>
      </c>
      <c r="D153" t="inlineStr">
        <is>
          <t>&lt; .001</t>
        </is>
      </c>
      <c r="E153" t="n">
        <v>-0.29</v>
      </c>
      <c r="F153" t="inlineStr">
        <is>
          <t>[-0.43, -0.15]</t>
        </is>
      </c>
      <c r="G153" t="inlineStr">
        <is>
          <t>&lt; .001</t>
        </is>
      </c>
      <c r="H153" t="inlineStr">
        <is>
          <t>✓</t>
        </is>
      </c>
    </row>
    <row r="154">
      <c r="A154" t="inlineStr">
        <is>
          <t>R_25_ROI</t>
        </is>
      </c>
      <c r="B154" t="n">
        <v>-3.07</v>
      </c>
      <c r="C154" t="n">
        <v>821</v>
      </c>
      <c r="D154">
        <f> 0.002</f>
        <v/>
      </c>
      <c r="E154" t="n">
        <v>-0.21</v>
      </c>
      <c r="F154" t="inlineStr">
        <is>
          <t>[-0.35, -0.08]</t>
        </is>
      </c>
      <c r="G154">
        <f> 0.003</f>
        <v/>
      </c>
      <c r="H154" t="inlineStr">
        <is>
          <t>✓</t>
        </is>
      </c>
    </row>
    <row r="155">
      <c r="A155" t="inlineStr">
        <is>
          <t>R_pOFC_ROI</t>
        </is>
      </c>
      <c r="B155" t="n">
        <v>-4.03</v>
      </c>
      <c r="C155" t="n">
        <v>821</v>
      </c>
      <c r="D155" t="inlineStr">
        <is>
          <t>&lt; .001</t>
        </is>
      </c>
      <c r="E155" t="n">
        <v>-0.28</v>
      </c>
      <c r="F155" t="inlineStr">
        <is>
          <t>[-0.42, -0.14]</t>
        </is>
      </c>
      <c r="G155" t="inlineStr">
        <is>
          <t>&lt; .001</t>
        </is>
      </c>
      <c r="H155" t="inlineStr">
        <is>
          <t>✓</t>
        </is>
      </c>
    </row>
    <row r="156">
      <c r="A156" t="inlineStr">
        <is>
          <t>R_PoI1_ROI</t>
        </is>
      </c>
      <c r="B156" t="n">
        <v>-3.47</v>
      </c>
      <c r="C156" t="n">
        <v>821</v>
      </c>
      <c r="D156" t="inlineStr">
        <is>
          <t>&lt; .001</t>
        </is>
      </c>
      <c r="E156" t="n">
        <v>-0.24</v>
      </c>
      <c r="F156" t="inlineStr">
        <is>
          <t>[-0.38, -0.10]</t>
        </is>
      </c>
      <c r="G156" t="inlineStr">
        <is>
          <t>&lt; .001</t>
        </is>
      </c>
      <c r="H156" t="inlineStr">
        <is>
          <t>✓</t>
        </is>
      </c>
    </row>
    <row r="157">
      <c r="A157" t="inlineStr">
        <is>
          <t>R_Ig_ROI</t>
        </is>
      </c>
      <c r="B157" t="n">
        <v>-4.55</v>
      </c>
      <c r="C157" t="n">
        <v>821</v>
      </c>
      <c r="D157" t="inlineStr">
        <is>
          <t>&lt; .001</t>
        </is>
      </c>
      <c r="E157" t="n">
        <v>-0.32</v>
      </c>
      <c r="F157" t="inlineStr">
        <is>
          <t>[-0.45, -0.18]</t>
        </is>
      </c>
      <c r="G157" t="inlineStr">
        <is>
          <t>&lt; .001</t>
        </is>
      </c>
      <c r="H157" t="inlineStr">
        <is>
          <t>✓</t>
        </is>
      </c>
    </row>
    <row r="158">
      <c r="A158" t="inlineStr">
        <is>
          <t>R_FOP5_ROI</t>
        </is>
      </c>
      <c r="B158" t="n">
        <v>-3.89</v>
      </c>
      <c r="C158" t="n">
        <v>821</v>
      </c>
      <c r="D158" t="inlineStr">
        <is>
          <t>&lt; .001</t>
        </is>
      </c>
      <c r="E158" t="n">
        <v>-0.27</v>
      </c>
      <c r="F158" t="inlineStr">
        <is>
          <t>[-0.41, -0.13]</t>
        </is>
      </c>
      <c r="G158" t="inlineStr">
        <is>
          <t>&lt; .001</t>
        </is>
      </c>
      <c r="H158" t="inlineStr">
        <is>
          <t>✓</t>
        </is>
      </c>
    </row>
    <row r="159">
      <c r="A159" t="inlineStr">
        <is>
          <t>R_p10p_ROI</t>
        </is>
      </c>
      <c r="B159" t="n">
        <v>-2.59</v>
      </c>
      <c r="C159" t="n">
        <v>821</v>
      </c>
      <c r="D159">
        <f> 0.010</f>
        <v/>
      </c>
      <c r="E159" t="n">
        <v>-0.18</v>
      </c>
      <c r="F159" t="inlineStr">
        <is>
          <t>[-0.32, -0.04]</t>
        </is>
      </c>
      <c r="G159">
        <f> 0.012</f>
        <v/>
      </c>
      <c r="H159" t="inlineStr">
        <is>
          <t>✓</t>
        </is>
      </c>
    </row>
    <row r="160">
      <c r="A160" t="inlineStr">
        <is>
          <t>R_p47r_ROI</t>
        </is>
      </c>
      <c r="B160" t="n">
        <v>-3.7</v>
      </c>
      <c r="C160" t="n">
        <v>821</v>
      </c>
      <c r="D160" t="inlineStr">
        <is>
          <t>&lt; .001</t>
        </is>
      </c>
      <c r="E160" t="n">
        <v>-0.26</v>
      </c>
      <c r="F160" t="inlineStr">
        <is>
          <t>[-0.39, -0.12]</t>
        </is>
      </c>
      <c r="G160" t="inlineStr">
        <is>
          <t>&lt; .001</t>
        </is>
      </c>
      <c r="H160" t="inlineStr">
        <is>
          <t>✓</t>
        </is>
      </c>
    </row>
    <row r="161">
      <c r="A161" t="inlineStr">
        <is>
          <t>R_MBelt_ROI</t>
        </is>
      </c>
      <c r="B161" t="n">
        <v>-4.34</v>
      </c>
      <c r="C161" t="n">
        <v>821</v>
      </c>
      <c r="D161" t="inlineStr">
        <is>
          <t>&lt; .001</t>
        </is>
      </c>
      <c r="E161" t="n">
        <v>-0.3</v>
      </c>
      <c r="F161" t="inlineStr">
        <is>
          <t>[-0.44, -0.17]</t>
        </is>
      </c>
      <c r="G161" t="inlineStr">
        <is>
          <t>&lt; .001</t>
        </is>
      </c>
      <c r="H161" t="inlineStr">
        <is>
          <t>✓</t>
        </is>
      </c>
    </row>
    <row r="162">
      <c r="A162" t="inlineStr">
        <is>
          <t>R_LBelt_ROI</t>
        </is>
      </c>
      <c r="B162" t="n">
        <v>-5</v>
      </c>
      <c r="C162" t="n">
        <v>821</v>
      </c>
      <c r="D162" t="inlineStr">
        <is>
          <t>&lt; .001</t>
        </is>
      </c>
      <c r="E162" t="n">
        <v>-0.35</v>
      </c>
      <c r="F162" t="inlineStr">
        <is>
          <t>[-0.49, -0.21]</t>
        </is>
      </c>
      <c r="G162" t="inlineStr">
        <is>
          <t>&lt; .001</t>
        </is>
      </c>
      <c r="H162" t="inlineStr">
        <is>
          <t>✓</t>
        </is>
      </c>
    </row>
    <row r="163">
      <c r="A163" t="inlineStr">
        <is>
          <t>R_A4_ROI</t>
        </is>
      </c>
      <c r="B163" t="n">
        <v>-4.52</v>
      </c>
      <c r="C163" t="n">
        <v>821</v>
      </c>
      <c r="D163" t="inlineStr">
        <is>
          <t>&lt; .001</t>
        </is>
      </c>
      <c r="E163" t="n">
        <v>-0.32</v>
      </c>
      <c r="F163" t="inlineStr">
        <is>
          <t>[-0.45, -0.18]</t>
        </is>
      </c>
      <c r="G163" t="inlineStr">
        <is>
          <t>&lt; .001</t>
        </is>
      </c>
      <c r="H163" t="inlineStr">
        <is>
          <t>✓</t>
        </is>
      </c>
    </row>
    <row r="164">
      <c r="A164" t="inlineStr">
        <is>
          <t>R_STSva_ROI</t>
        </is>
      </c>
      <c r="B164" t="n">
        <v>-2.87</v>
      </c>
      <c r="C164" t="n">
        <v>821</v>
      </c>
      <c r="D164">
        <f> 0.004</f>
        <v/>
      </c>
      <c r="E164" t="n">
        <v>-0.2</v>
      </c>
      <c r="F164" t="inlineStr">
        <is>
          <t>[-0.34, -0.06]</t>
        </is>
      </c>
      <c r="G164">
        <f> 0.006</f>
        <v/>
      </c>
      <c r="H164" t="inlineStr">
        <is>
          <t>✓</t>
        </is>
      </c>
    </row>
    <row r="165">
      <c r="A165" t="inlineStr">
        <is>
          <t>R_TE1m_ROI</t>
        </is>
      </c>
      <c r="B165" t="n">
        <v>-3.8</v>
      </c>
      <c r="C165" t="n">
        <v>821</v>
      </c>
      <c r="D165" t="inlineStr">
        <is>
          <t>&lt; .001</t>
        </is>
      </c>
      <c r="E165" t="n">
        <v>-0.27</v>
      </c>
      <c r="F165" t="inlineStr">
        <is>
          <t>[-0.40, -0.13]</t>
        </is>
      </c>
      <c r="G165" t="inlineStr">
        <is>
          <t>&lt; .001</t>
        </is>
      </c>
      <c r="H165" t="inlineStr">
        <is>
          <t>✓</t>
        </is>
      </c>
    </row>
    <row r="166">
      <c r="A166" t="inlineStr">
        <is>
          <t>R_PI_ROI</t>
        </is>
      </c>
      <c r="B166" t="n">
        <v>-3.7</v>
      </c>
      <c r="C166" t="n">
        <v>821</v>
      </c>
      <c r="D166" t="inlineStr">
        <is>
          <t>&lt; .001</t>
        </is>
      </c>
      <c r="E166" t="n">
        <v>-0.26</v>
      </c>
      <c r="F166" t="inlineStr">
        <is>
          <t>[-0.40, -0.12]</t>
        </is>
      </c>
      <c r="G166" t="inlineStr">
        <is>
          <t>&lt; .001</t>
        </is>
      </c>
      <c r="H166" t="inlineStr">
        <is>
          <t>✓</t>
        </is>
      </c>
    </row>
    <row r="167">
      <c r="A167" t="inlineStr">
        <is>
          <t>R_a32pr_ROI</t>
        </is>
      </c>
      <c r="B167" t="n">
        <v>-4.35</v>
      </c>
      <c r="C167" t="n">
        <v>821</v>
      </c>
      <c r="D167" t="inlineStr">
        <is>
          <t>&lt; .001</t>
        </is>
      </c>
      <c r="E167" t="n">
        <v>-0.3</v>
      </c>
      <c r="F167" t="inlineStr">
        <is>
          <t>[-0.44, -0.17]</t>
        </is>
      </c>
      <c r="G167" t="inlineStr">
        <is>
          <t>&lt; .001</t>
        </is>
      </c>
      <c r="H167" t="inlineStr">
        <is>
          <t>✓</t>
        </is>
      </c>
    </row>
    <row r="168">
      <c r="A168" t="inlineStr">
        <is>
          <t>R_p24_ROI</t>
        </is>
      </c>
      <c r="B168" t="n">
        <v>-2.61</v>
      </c>
      <c r="C168" t="n">
        <v>821</v>
      </c>
      <c r="D168">
        <f> 0.009</f>
        <v/>
      </c>
      <c r="E168" t="n">
        <v>-0.18</v>
      </c>
      <c r="F168" t="inlineStr">
        <is>
          <t>[-0.32, -0.04]</t>
        </is>
      </c>
      <c r="G168">
        <f> 0.012</f>
        <v/>
      </c>
      <c r="H168" t="inlineStr">
        <is>
          <t>✓</t>
        </is>
      </c>
    </row>
    <row r="169">
      <c r="A169" t="inlineStr">
        <is>
          <t>L_V1_ROI</t>
        </is>
      </c>
      <c r="B169" t="n">
        <v>-3.49</v>
      </c>
      <c r="C169" t="n">
        <v>821</v>
      </c>
      <c r="D169" t="inlineStr">
        <is>
          <t>&lt; .001</t>
        </is>
      </c>
      <c r="E169" t="n">
        <v>-0.24</v>
      </c>
      <c r="F169" t="inlineStr">
        <is>
          <t>[-0.38, -0.11]</t>
        </is>
      </c>
      <c r="G169" t="inlineStr">
        <is>
          <t>&lt; .001</t>
        </is>
      </c>
      <c r="H169" t="inlineStr">
        <is>
          <t>✓</t>
        </is>
      </c>
    </row>
    <row r="170">
      <c r="A170" t="inlineStr">
        <is>
          <t>L_MST_ROI</t>
        </is>
      </c>
      <c r="B170" t="n">
        <v>-3.5</v>
      </c>
      <c r="C170" t="n">
        <v>821</v>
      </c>
      <c r="D170" t="inlineStr">
        <is>
          <t>&lt; .001</t>
        </is>
      </c>
      <c r="E170" t="n">
        <v>-0.24</v>
      </c>
      <c r="F170" t="inlineStr">
        <is>
          <t>[-0.38, -0.11]</t>
        </is>
      </c>
      <c r="G170" t="inlineStr">
        <is>
          <t>&lt; .001</t>
        </is>
      </c>
      <c r="H170" t="inlineStr">
        <is>
          <t>✓</t>
        </is>
      </c>
    </row>
    <row r="171">
      <c r="A171" t="inlineStr">
        <is>
          <t>L_V6_ROI</t>
        </is>
      </c>
      <c r="B171" t="n">
        <v>-3.25</v>
      </c>
      <c r="C171" t="n">
        <v>821</v>
      </c>
      <c r="D171">
        <f> 0.001</f>
        <v/>
      </c>
      <c r="E171" t="n">
        <v>-0.23</v>
      </c>
      <c r="F171" t="inlineStr">
        <is>
          <t>[-0.36, -0.09]</t>
        </is>
      </c>
      <c r="G171">
        <f> 0.002</f>
        <v/>
      </c>
      <c r="H171" t="inlineStr">
        <is>
          <t>✓</t>
        </is>
      </c>
    </row>
    <row r="172">
      <c r="A172" t="inlineStr">
        <is>
          <t>L_V2_ROI</t>
        </is>
      </c>
      <c r="B172" t="n">
        <v>-4.51</v>
      </c>
      <c r="C172" t="n">
        <v>821</v>
      </c>
      <c r="D172" t="inlineStr">
        <is>
          <t>&lt; .001</t>
        </is>
      </c>
      <c r="E172" t="n">
        <v>-0.31</v>
      </c>
      <c r="F172" t="inlineStr">
        <is>
          <t>[-0.45, -0.18]</t>
        </is>
      </c>
      <c r="G172" t="inlineStr">
        <is>
          <t>&lt; .001</t>
        </is>
      </c>
      <c r="H172" t="inlineStr">
        <is>
          <t>✓</t>
        </is>
      </c>
    </row>
    <row r="173">
      <c r="A173" t="inlineStr">
        <is>
          <t>L_V3_ROI</t>
        </is>
      </c>
      <c r="B173" t="n">
        <v>-3.6</v>
      </c>
      <c r="C173" t="n">
        <v>821</v>
      </c>
      <c r="D173" t="inlineStr">
        <is>
          <t>&lt; .001</t>
        </is>
      </c>
      <c r="E173" t="n">
        <v>-0.25</v>
      </c>
      <c r="F173" t="inlineStr">
        <is>
          <t>[-0.39, -0.11]</t>
        </is>
      </c>
      <c r="G173" t="inlineStr">
        <is>
          <t>&lt; .001</t>
        </is>
      </c>
      <c r="H173" t="inlineStr">
        <is>
          <t>✓</t>
        </is>
      </c>
    </row>
    <row r="174">
      <c r="A174" t="inlineStr">
        <is>
          <t>L_V4_ROI</t>
        </is>
      </c>
      <c r="B174" t="n">
        <v>-4.15</v>
      </c>
      <c r="C174" t="n">
        <v>821</v>
      </c>
      <c r="D174" t="inlineStr">
        <is>
          <t>&lt; .001</t>
        </is>
      </c>
      <c r="E174" t="n">
        <v>-0.29</v>
      </c>
      <c r="F174" t="inlineStr">
        <is>
          <t>[-0.43, -0.15]</t>
        </is>
      </c>
      <c r="G174" t="inlineStr">
        <is>
          <t>&lt; .001</t>
        </is>
      </c>
      <c r="H174" t="inlineStr">
        <is>
          <t>✓</t>
        </is>
      </c>
    </row>
    <row r="175">
      <c r="A175" t="inlineStr">
        <is>
          <t>L_4_ROI</t>
        </is>
      </c>
      <c r="B175" t="n">
        <v>-5.03</v>
      </c>
      <c r="C175" t="n">
        <v>821</v>
      </c>
      <c r="D175" t="inlineStr">
        <is>
          <t>&lt; .001</t>
        </is>
      </c>
      <c r="E175" t="n">
        <v>-0.35</v>
      </c>
      <c r="F175" t="inlineStr">
        <is>
          <t>[-0.49, -0.21]</t>
        </is>
      </c>
      <c r="G175" t="inlineStr">
        <is>
          <t>&lt; .001</t>
        </is>
      </c>
      <c r="H175" t="inlineStr">
        <is>
          <t>✓</t>
        </is>
      </c>
    </row>
    <row r="176">
      <c r="A176" t="inlineStr">
        <is>
          <t>L_3b_ROI</t>
        </is>
      </c>
      <c r="B176" t="n">
        <v>-3.18</v>
      </c>
      <c r="C176" t="n">
        <v>821</v>
      </c>
      <c r="D176">
        <f> 0.002</f>
        <v/>
      </c>
      <c r="E176" t="n">
        <v>-0.22</v>
      </c>
      <c r="F176" t="inlineStr">
        <is>
          <t>[-0.36, -0.08]</t>
        </is>
      </c>
      <c r="G176">
        <f> 0.002</f>
        <v/>
      </c>
      <c r="H176" t="inlineStr">
        <is>
          <t>✓</t>
        </is>
      </c>
    </row>
    <row r="177">
      <c r="A177" t="inlineStr">
        <is>
          <t>L_FEF_ROI</t>
        </is>
      </c>
      <c r="B177" t="n">
        <v>-4.32</v>
      </c>
      <c r="C177" t="n">
        <v>821</v>
      </c>
      <c r="D177" t="inlineStr">
        <is>
          <t>&lt; .001</t>
        </is>
      </c>
      <c r="E177" t="n">
        <v>-0.3</v>
      </c>
      <c r="F177" t="inlineStr">
        <is>
          <t>[-0.44, -0.16]</t>
        </is>
      </c>
      <c r="G177" t="inlineStr">
        <is>
          <t>&lt; .001</t>
        </is>
      </c>
      <c r="H177" t="inlineStr">
        <is>
          <t>✓</t>
        </is>
      </c>
    </row>
    <row r="178">
      <c r="A178" t="inlineStr">
        <is>
          <t>L_PEF_ROI</t>
        </is>
      </c>
      <c r="B178" t="n">
        <v>-4.09</v>
      </c>
      <c r="C178" t="n">
        <v>821</v>
      </c>
      <c r="D178" t="inlineStr">
        <is>
          <t>&lt; .001</t>
        </is>
      </c>
      <c r="E178" t="n">
        <v>-0.29</v>
      </c>
      <c r="F178" t="inlineStr">
        <is>
          <t>[-0.42, -0.15]</t>
        </is>
      </c>
      <c r="G178" t="inlineStr">
        <is>
          <t>&lt; .001</t>
        </is>
      </c>
      <c r="H178" t="inlineStr">
        <is>
          <t>✓</t>
        </is>
      </c>
    </row>
    <row r="179">
      <c r="A179" t="inlineStr">
        <is>
          <t>L_55b_ROI</t>
        </is>
      </c>
      <c r="B179" t="n">
        <v>-4.96</v>
      </c>
      <c r="C179" t="n">
        <v>821</v>
      </c>
      <c r="D179" t="inlineStr">
        <is>
          <t>&lt; .001</t>
        </is>
      </c>
      <c r="E179" t="n">
        <v>-0.35</v>
      </c>
      <c r="F179" t="inlineStr">
        <is>
          <t>[-0.48, -0.21]</t>
        </is>
      </c>
      <c r="G179" t="inlineStr">
        <is>
          <t>&lt; .001</t>
        </is>
      </c>
      <c r="H179" t="inlineStr">
        <is>
          <t>✓</t>
        </is>
      </c>
    </row>
    <row r="180">
      <c r="A180" t="inlineStr">
        <is>
          <t>L_V3A_ROI</t>
        </is>
      </c>
      <c r="B180" t="n">
        <v>-2.65</v>
      </c>
      <c r="C180" t="n">
        <v>821</v>
      </c>
      <c r="D180">
        <f> 0.008</f>
        <v/>
      </c>
      <c r="E180" t="n">
        <v>-0.18</v>
      </c>
      <c r="F180" t="inlineStr">
        <is>
          <t>[-0.32, -0.05]</t>
        </is>
      </c>
      <c r="G180">
        <f> 0.010</f>
        <v/>
      </c>
      <c r="H180" t="inlineStr">
        <is>
          <t>✓</t>
        </is>
      </c>
    </row>
    <row r="181">
      <c r="A181" t="inlineStr">
        <is>
          <t>L_RSC_ROI</t>
        </is>
      </c>
      <c r="B181" t="n">
        <v>-2.89</v>
      </c>
      <c r="C181" t="n">
        <v>821</v>
      </c>
      <c r="D181">
        <f> 0.004</f>
        <v/>
      </c>
      <c r="E181" t="n">
        <v>-0.2</v>
      </c>
      <c r="F181" t="inlineStr">
        <is>
          <t>[-0.34, -0.06]</t>
        </is>
      </c>
      <c r="G181">
        <f> 0.005</f>
        <v/>
      </c>
      <c r="H181" t="inlineStr">
        <is>
          <t>✓</t>
        </is>
      </c>
    </row>
    <row r="182">
      <c r="A182" t="inlineStr">
        <is>
          <t>L_POS2_ROI</t>
        </is>
      </c>
      <c r="B182" t="n">
        <v>-3.28</v>
      </c>
      <c r="C182" t="n">
        <v>821</v>
      </c>
      <c r="D182">
        <f> 0.001</f>
        <v/>
      </c>
      <c r="E182" t="n">
        <v>-0.23</v>
      </c>
      <c r="F182" t="inlineStr">
        <is>
          <t>[-0.37, -0.09]</t>
        </is>
      </c>
      <c r="G182">
        <f> 0.002</f>
        <v/>
      </c>
      <c r="H182" t="inlineStr">
        <is>
          <t>✓</t>
        </is>
      </c>
    </row>
    <row r="183">
      <c r="A183" t="inlineStr">
        <is>
          <t>L_V7_ROI</t>
        </is>
      </c>
      <c r="B183" t="n">
        <v>-2.71</v>
      </c>
      <c r="C183" t="n">
        <v>821</v>
      </c>
      <c r="D183">
        <f> 0.007</f>
        <v/>
      </c>
      <c r="E183" t="n">
        <v>-0.19</v>
      </c>
      <c r="F183" t="inlineStr">
        <is>
          <t>[-0.33, -0.05]</t>
        </is>
      </c>
      <c r="G183">
        <f> 0.009</f>
        <v/>
      </c>
      <c r="H183" t="inlineStr">
        <is>
          <t>✓</t>
        </is>
      </c>
    </row>
    <row r="184">
      <c r="A184" t="inlineStr">
        <is>
          <t>L_IPS1_ROI</t>
        </is>
      </c>
      <c r="B184" t="n">
        <v>-3.49</v>
      </c>
      <c r="C184" t="n">
        <v>821</v>
      </c>
      <c r="D184" t="inlineStr">
        <is>
          <t>&lt; .001</t>
        </is>
      </c>
      <c r="E184" t="n">
        <v>-0.24</v>
      </c>
      <c r="F184" t="inlineStr">
        <is>
          <t>[-0.38, -0.11]</t>
        </is>
      </c>
      <c r="G184" t="inlineStr">
        <is>
          <t>&lt; .001</t>
        </is>
      </c>
      <c r="H184" t="inlineStr">
        <is>
          <t>✓</t>
        </is>
      </c>
    </row>
    <row r="185">
      <c r="A185" t="inlineStr">
        <is>
          <t>L_FFC_ROI</t>
        </is>
      </c>
      <c r="B185" t="n">
        <v>-2.15</v>
      </c>
      <c r="C185" t="n">
        <v>821</v>
      </c>
      <c r="D185">
        <f> 0.032</f>
        <v/>
      </c>
      <c r="E185" t="n">
        <v>-0.15</v>
      </c>
      <c r="F185" t="inlineStr">
        <is>
          <t>[-0.29, -0.01]</t>
        </is>
      </c>
      <c r="G185">
        <f> 0.036</f>
        <v/>
      </c>
      <c r="H185" t="inlineStr">
        <is>
          <t>✓</t>
        </is>
      </c>
    </row>
    <row r="186">
      <c r="A186" t="inlineStr">
        <is>
          <t>L_V3B_ROI</t>
        </is>
      </c>
      <c r="B186" t="n">
        <v>-3.86</v>
      </c>
      <c r="C186" t="n">
        <v>821</v>
      </c>
      <c r="D186" t="inlineStr">
        <is>
          <t>&lt; .001</t>
        </is>
      </c>
      <c r="E186" t="n">
        <v>-0.27</v>
      </c>
      <c r="F186" t="inlineStr">
        <is>
          <t>[-0.41, -0.13]</t>
        </is>
      </c>
      <c r="G186" t="inlineStr">
        <is>
          <t>&lt; .001</t>
        </is>
      </c>
      <c r="H186" t="inlineStr">
        <is>
          <t>✓</t>
        </is>
      </c>
    </row>
    <row r="187">
      <c r="A187" t="inlineStr">
        <is>
          <t>L_LO1_ROI</t>
        </is>
      </c>
      <c r="B187" t="n">
        <v>-2.18</v>
      </c>
      <c r="C187" t="n">
        <v>821</v>
      </c>
      <c r="D187">
        <f> 0.029</f>
        <v/>
      </c>
      <c r="E187" t="n">
        <v>-0.15</v>
      </c>
      <c r="F187" t="inlineStr">
        <is>
          <t>[-0.29, -0.02]</t>
        </is>
      </c>
      <c r="G187">
        <f> 0.033</f>
        <v/>
      </c>
      <c r="H187" t="inlineStr">
        <is>
          <t>✓</t>
        </is>
      </c>
    </row>
    <row r="188">
      <c r="A188" t="inlineStr">
        <is>
          <t>L_LO2_ROI</t>
        </is>
      </c>
      <c r="B188" t="n">
        <v>-2.16</v>
      </c>
      <c r="C188" t="n">
        <v>821</v>
      </c>
      <c r="D188">
        <f> 0.031</f>
        <v/>
      </c>
      <c r="E188" t="n">
        <v>-0.15</v>
      </c>
      <c r="F188" t="inlineStr">
        <is>
          <t>[-0.29, -0.01]</t>
        </is>
      </c>
      <c r="G188">
        <f> 0.035</f>
        <v/>
      </c>
      <c r="H188" t="inlineStr">
        <is>
          <t>✓</t>
        </is>
      </c>
    </row>
    <row r="189">
      <c r="A189" t="inlineStr">
        <is>
          <t>L_PIT_ROI</t>
        </is>
      </c>
      <c r="B189" t="n">
        <v>-3.46</v>
      </c>
      <c r="C189" t="n">
        <v>821</v>
      </c>
      <c r="D189" t="inlineStr">
        <is>
          <t>&lt; .001</t>
        </is>
      </c>
      <c r="E189" t="n">
        <v>-0.24</v>
      </c>
      <c r="F189" t="inlineStr">
        <is>
          <t>[-0.38, -0.10]</t>
        </is>
      </c>
      <c r="G189" t="inlineStr">
        <is>
          <t>&lt; .001</t>
        </is>
      </c>
      <c r="H189" t="inlineStr">
        <is>
          <t>✓</t>
        </is>
      </c>
    </row>
    <row r="190">
      <c r="A190" t="inlineStr">
        <is>
          <t>L_MT_ROI</t>
        </is>
      </c>
      <c r="B190" t="n">
        <v>-3.59</v>
      </c>
      <c r="C190" t="n">
        <v>821</v>
      </c>
      <c r="D190" t="inlineStr">
        <is>
          <t>&lt; .001</t>
        </is>
      </c>
      <c r="E190" t="n">
        <v>-0.25</v>
      </c>
      <c r="F190" t="inlineStr">
        <is>
          <t>[-0.39, -0.11]</t>
        </is>
      </c>
      <c r="G190" t="inlineStr">
        <is>
          <t>&lt; .001</t>
        </is>
      </c>
      <c r="H190" t="inlineStr">
        <is>
          <t>✓</t>
        </is>
      </c>
    </row>
    <row r="191">
      <c r="A191" t="inlineStr">
        <is>
          <t>L_A1_ROI</t>
        </is>
      </c>
      <c r="B191" t="n">
        <v>-4.49</v>
      </c>
      <c r="C191" t="n">
        <v>821</v>
      </c>
      <c r="D191" t="inlineStr">
        <is>
          <t>&lt; .001</t>
        </is>
      </c>
      <c r="E191" t="n">
        <v>-0.31</v>
      </c>
      <c r="F191" t="inlineStr">
        <is>
          <t>[-0.45, -0.18]</t>
        </is>
      </c>
      <c r="G191" t="inlineStr">
        <is>
          <t>&lt; .001</t>
        </is>
      </c>
      <c r="H191" t="inlineStr">
        <is>
          <t>✓</t>
        </is>
      </c>
    </row>
    <row r="192">
      <c r="A192" t="inlineStr">
        <is>
          <t>L_PSL_ROI</t>
        </is>
      </c>
      <c r="B192" t="n">
        <v>-5.44</v>
      </c>
      <c r="C192" t="n">
        <v>821</v>
      </c>
      <c r="D192" t="inlineStr">
        <is>
          <t>&lt; .001</t>
        </is>
      </c>
      <c r="E192" t="n">
        <v>-0.38</v>
      </c>
      <c r="F192" t="inlineStr">
        <is>
          <t>[-0.52, -0.24]</t>
        </is>
      </c>
      <c r="G192" t="inlineStr">
        <is>
          <t>&lt; .001</t>
        </is>
      </c>
      <c r="H192" t="inlineStr">
        <is>
          <t>✓</t>
        </is>
      </c>
    </row>
    <row r="193">
      <c r="A193" t="inlineStr">
        <is>
          <t>L_SFL_ROI</t>
        </is>
      </c>
      <c r="B193" t="n">
        <v>-3.59</v>
      </c>
      <c r="C193" t="n">
        <v>821</v>
      </c>
      <c r="D193" t="inlineStr">
        <is>
          <t>&lt; .001</t>
        </is>
      </c>
      <c r="E193" t="n">
        <v>-0.25</v>
      </c>
      <c r="F193" t="inlineStr">
        <is>
          <t>[-0.39, -0.11]</t>
        </is>
      </c>
      <c r="G193" t="inlineStr">
        <is>
          <t>&lt; .001</t>
        </is>
      </c>
      <c r="H193" t="inlineStr">
        <is>
          <t>✓</t>
        </is>
      </c>
    </row>
    <row r="194">
      <c r="A194" t="inlineStr">
        <is>
          <t>L_PCV_ROI</t>
        </is>
      </c>
      <c r="B194" t="n">
        <v>-4.05</v>
      </c>
      <c r="C194" t="n">
        <v>821</v>
      </c>
      <c r="D194" t="inlineStr">
        <is>
          <t>&lt; .001</t>
        </is>
      </c>
      <c r="E194" t="n">
        <v>-0.28</v>
      </c>
      <c r="F194" t="inlineStr">
        <is>
          <t>[-0.42, -0.15]</t>
        </is>
      </c>
      <c r="G194" t="inlineStr">
        <is>
          <t>&lt; .001</t>
        </is>
      </c>
      <c r="H194" t="inlineStr">
        <is>
          <t>✓</t>
        </is>
      </c>
    </row>
    <row r="195">
      <c r="A195" t="inlineStr">
        <is>
          <t>L_STV_ROI</t>
        </is>
      </c>
      <c r="B195" t="n">
        <v>-3.73</v>
      </c>
      <c r="C195" t="n">
        <v>821</v>
      </c>
      <c r="D195" t="inlineStr">
        <is>
          <t>&lt; .001</t>
        </is>
      </c>
      <c r="E195" t="n">
        <v>-0.26</v>
      </c>
      <c r="F195" t="inlineStr">
        <is>
          <t>[-0.40, -0.12]</t>
        </is>
      </c>
      <c r="G195" t="inlineStr">
        <is>
          <t>&lt; .001</t>
        </is>
      </c>
      <c r="H195" t="inlineStr">
        <is>
          <t>✓</t>
        </is>
      </c>
    </row>
    <row r="196">
      <c r="A196" t="inlineStr">
        <is>
          <t>L_7m_ROI</t>
        </is>
      </c>
      <c r="B196" t="n">
        <v>-2.74</v>
      </c>
      <c r="C196" t="n">
        <v>821</v>
      </c>
      <c r="D196">
        <f> 0.006</f>
        <v/>
      </c>
      <c r="E196" t="n">
        <v>-0.19</v>
      </c>
      <c r="F196" t="inlineStr">
        <is>
          <t>[-0.33, -0.05]</t>
        </is>
      </c>
      <c r="G196">
        <f> 0.008</f>
        <v/>
      </c>
      <c r="H196" t="inlineStr">
        <is>
          <t>✓</t>
        </is>
      </c>
    </row>
    <row r="197">
      <c r="A197" t="inlineStr">
        <is>
          <t>L_POS1_ROI</t>
        </is>
      </c>
      <c r="B197" t="n">
        <v>-4.09</v>
      </c>
      <c r="C197" t="n">
        <v>821</v>
      </c>
      <c r="D197" t="inlineStr">
        <is>
          <t>&lt; .001</t>
        </is>
      </c>
      <c r="E197" t="n">
        <v>-0.29</v>
      </c>
      <c r="F197" t="inlineStr">
        <is>
          <t>[-0.42, -0.15]</t>
        </is>
      </c>
      <c r="G197" t="inlineStr">
        <is>
          <t>&lt; .001</t>
        </is>
      </c>
      <c r="H197" t="inlineStr">
        <is>
          <t>✓</t>
        </is>
      </c>
    </row>
    <row r="198">
      <c r="A198" t="inlineStr">
        <is>
          <t>L_23d_ROI</t>
        </is>
      </c>
      <c r="B198" t="n">
        <v>-3.55</v>
      </c>
      <c r="C198" t="n">
        <v>821</v>
      </c>
      <c r="D198" t="inlineStr">
        <is>
          <t>&lt; .001</t>
        </is>
      </c>
      <c r="E198" t="n">
        <v>-0.25</v>
      </c>
      <c r="F198" t="inlineStr">
        <is>
          <t>[-0.38, -0.11]</t>
        </is>
      </c>
      <c r="G198" t="inlineStr">
        <is>
          <t>&lt; .001</t>
        </is>
      </c>
      <c r="H198" t="inlineStr">
        <is>
          <t>✓</t>
        </is>
      </c>
    </row>
    <row r="199">
      <c r="A199" t="inlineStr">
        <is>
          <t>L_v23ab_ROI</t>
        </is>
      </c>
      <c r="B199" t="n">
        <v>-3.67</v>
      </c>
      <c r="C199" t="n">
        <v>821</v>
      </c>
      <c r="D199" t="inlineStr">
        <is>
          <t>&lt; .001</t>
        </is>
      </c>
      <c r="E199" t="n">
        <v>-0.26</v>
      </c>
      <c r="F199" t="inlineStr">
        <is>
          <t>[-0.39, -0.12]</t>
        </is>
      </c>
      <c r="G199" t="inlineStr">
        <is>
          <t>&lt; .001</t>
        </is>
      </c>
      <c r="H199" t="inlineStr">
        <is>
          <t>✓</t>
        </is>
      </c>
    </row>
    <row r="200">
      <c r="A200" t="inlineStr">
        <is>
          <t>L_d23ab_ROI</t>
        </is>
      </c>
      <c r="B200" t="n">
        <v>-4.18</v>
      </c>
      <c r="C200" t="n">
        <v>821</v>
      </c>
      <c r="D200" t="inlineStr">
        <is>
          <t>&lt; .001</t>
        </is>
      </c>
      <c r="E200" t="n">
        <v>-0.29</v>
      </c>
      <c r="F200" t="inlineStr">
        <is>
          <t>[-0.43, -0.15]</t>
        </is>
      </c>
      <c r="G200" t="inlineStr">
        <is>
          <t>&lt; .001</t>
        </is>
      </c>
      <c r="H200" t="inlineStr">
        <is>
          <t>✓</t>
        </is>
      </c>
    </row>
    <row r="201">
      <c r="A201" t="inlineStr">
        <is>
          <t>L_31pv_ROI</t>
        </is>
      </c>
      <c r="B201" t="n">
        <v>-2.36</v>
      </c>
      <c r="C201" t="n">
        <v>821</v>
      </c>
      <c r="D201">
        <f> 0.018</f>
        <v/>
      </c>
      <c r="E201" t="n">
        <v>-0.16</v>
      </c>
      <c r="F201" t="inlineStr">
        <is>
          <t>[-0.30, -0.03]</t>
        </is>
      </c>
      <c r="G201">
        <f> 0.022</f>
        <v/>
      </c>
      <c r="H201" t="inlineStr">
        <is>
          <t>✓</t>
        </is>
      </c>
    </row>
    <row r="202">
      <c r="A202" t="inlineStr">
        <is>
          <t>L_5m_ROI</t>
        </is>
      </c>
      <c r="B202" t="n">
        <v>-2.37</v>
      </c>
      <c r="C202" t="n">
        <v>821</v>
      </c>
      <c r="D202">
        <f> 0.018</f>
        <v/>
      </c>
      <c r="E202" t="n">
        <v>-0.17</v>
      </c>
      <c r="F202" t="inlineStr">
        <is>
          <t>[-0.30, -0.03]</t>
        </is>
      </c>
      <c r="G202">
        <f> 0.021</f>
        <v/>
      </c>
      <c r="H202" t="inlineStr">
        <is>
          <t>✓</t>
        </is>
      </c>
    </row>
    <row r="203">
      <c r="A203" t="inlineStr">
        <is>
          <t>L_5mv_ROI</t>
        </is>
      </c>
      <c r="B203" t="n">
        <v>-2.19</v>
      </c>
      <c r="C203" t="n">
        <v>821</v>
      </c>
      <c r="D203">
        <f> 0.029</f>
        <v/>
      </c>
      <c r="E203" t="n">
        <v>-0.15</v>
      </c>
      <c r="F203" t="inlineStr">
        <is>
          <t>[-0.29, -0.02]</t>
        </is>
      </c>
      <c r="G203">
        <f> 0.033</f>
        <v/>
      </c>
      <c r="H203" t="inlineStr">
        <is>
          <t>✓</t>
        </is>
      </c>
    </row>
    <row r="204">
      <c r="A204" t="inlineStr">
        <is>
          <t>L_23c_ROI</t>
        </is>
      </c>
      <c r="B204" t="n">
        <v>-4.12</v>
      </c>
      <c r="C204" t="n">
        <v>821</v>
      </c>
      <c r="D204" t="inlineStr">
        <is>
          <t>&lt; .001</t>
        </is>
      </c>
      <c r="E204" t="n">
        <v>-0.29</v>
      </c>
      <c r="F204" t="inlineStr">
        <is>
          <t>[-0.42, -0.15]</t>
        </is>
      </c>
      <c r="G204" t="inlineStr">
        <is>
          <t>&lt; .001</t>
        </is>
      </c>
      <c r="H204" t="inlineStr">
        <is>
          <t>✓</t>
        </is>
      </c>
    </row>
    <row r="205">
      <c r="A205" t="inlineStr">
        <is>
          <t>L_5L_ROI</t>
        </is>
      </c>
      <c r="B205" t="n">
        <v>-2.12</v>
      </c>
      <c r="C205" t="n">
        <v>821</v>
      </c>
      <c r="D205">
        <f> 0.034</f>
        <v/>
      </c>
      <c r="E205" t="n">
        <v>-0.15</v>
      </c>
      <c r="F205" t="inlineStr">
        <is>
          <t>[-0.28, -0.01]</t>
        </is>
      </c>
      <c r="G205">
        <f> 0.038</f>
        <v/>
      </c>
      <c r="H205" t="inlineStr">
        <is>
          <t>✓</t>
        </is>
      </c>
    </row>
    <row r="206">
      <c r="A206" t="inlineStr">
        <is>
          <t>L_24dd_ROI</t>
        </is>
      </c>
      <c r="B206" t="n">
        <v>-3.47</v>
      </c>
      <c r="C206" t="n">
        <v>821</v>
      </c>
      <c r="D206" t="inlineStr">
        <is>
          <t>&lt; .001</t>
        </is>
      </c>
      <c r="E206" t="n">
        <v>-0.24</v>
      </c>
      <c r="F206" t="inlineStr">
        <is>
          <t>[-0.38, -0.10]</t>
        </is>
      </c>
      <c r="G206" t="inlineStr">
        <is>
          <t>&lt; .001</t>
        </is>
      </c>
      <c r="H206" t="inlineStr">
        <is>
          <t>✓</t>
        </is>
      </c>
    </row>
    <row r="207">
      <c r="A207" t="inlineStr">
        <is>
          <t>L_24dv_ROI</t>
        </is>
      </c>
      <c r="B207" t="n">
        <v>-3.84</v>
      </c>
      <c r="C207" t="n">
        <v>821</v>
      </c>
      <c r="D207" t="inlineStr">
        <is>
          <t>&lt; .001</t>
        </is>
      </c>
      <c r="E207" t="n">
        <v>-0.27</v>
      </c>
      <c r="F207" t="inlineStr">
        <is>
          <t>[-0.41, -0.13]</t>
        </is>
      </c>
      <c r="G207" t="inlineStr">
        <is>
          <t>&lt; .001</t>
        </is>
      </c>
      <c r="H207" t="inlineStr">
        <is>
          <t>✓</t>
        </is>
      </c>
    </row>
    <row r="208">
      <c r="A208" t="inlineStr">
        <is>
          <t>L_7AL_ROI</t>
        </is>
      </c>
      <c r="B208" t="n">
        <v>-2.18</v>
      </c>
      <c r="C208" t="n">
        <v>821</v>
      </c>
      <c r="D208">
        <f> 0.030</f>
        <v/>
      </c>
      <c r="E208" t="n">
        <v>-0.15</v>
      </c>
      <c r="F208" t="inlineStr">
        <is>
          <t>[-0.29, -0.01]</t>
        </is>
      </c>
      <c r="G208">
        <f> 0.034</f>
        <v/>
      </c>
      <c r="H208" t="inlineStr">
        <is>
          <t>✓</t>
        </is>
      </c>
    </row>
    <row r="209">
      <c r="A209" t="inlineStr">
        <is>
          <t>L_SCEF_ROI</t>
        </is>
      </c>
      <c r="B209" t="n">
        <v>-4.2</v>
      </c>
      <c r="C209" t="n">
        <v>821</v>
      </c>
      <c r="D209" t="inlineStr">
        <is>
          <t>&lt; .001</t>
        </is>
      </c>
      <c r="E209" t="n">
        <v>-0.29</v>
      </c>
      <c r="F209" t="inlineStr">
        <is>
          <t>[-0.43, -0.16]</t>
        </is>
      </c>
      <c r="G209" t="inlineStr">
        <is>
          <t>&lt; .001</t>
        </is>
      </c>
      <c r="H209" t="inlineStr">
        <is>
          <t>✓</t>
        </is>
      </c>
    </row>
    <row r="210">
      <c r="A210" t="inlineStr">
        <is>
          <t>L_6ma_ROI</t>
        </is>
      </c>
      <c r="B210" t="n">
        <v>-3.98</v>
      </c>
      <c r="C210" t="n">
        <v>821</v>
      </c>
      <c r="D210" t="inlineStr">
        <is>
          <t>&lt; .001</t>
        </is>
      </c>
      <c r="E210" t="n">
        <v>-0.28</v>
      </c>
      <c r="F210" t="inlineStr">
        <is>
          <t>[-0.41, -0.14]</t>
        </is>
      </c>
      <c r="G210" t="inlineStr">
        <is>
          <t>&lt; .001</t>
        </is>
      </c>
      <c r="H210" t="inlineStr">
        <is>
          <t>✓</t>
        </is>
      </c>
    </row>
    <row r="211">
      <c r="A211" t="inlineStr">
        <is>
          <t>L_7Am_ROI</t>
        </is>
      </c>
      <c r="B211" t="n">
        <v>-2.3</v>
      </c>
      <c r="C211" t="n">
        <v>821</v>
      </c>
      <c r="D211">
        <f> 0.022</f>
        <v/>
      </c>
      <c r="E211" t="n">
        <v>-0.16</v>
      </c>
      <c r="F211" t="inlineStr">
        <is>
          <t>[-0.30, -0.02]</t>
        </is>
      </c>
      <c r="G211">
        <f> 0.025</f>
        <v/>
      </c>
      <c r="H211" t="inlineStr">
        <is>
          <t>✓</t>
        </is>
      </c>
    </row>
    <row r="212">
      <c r="A212" t="inlineStr">
        <is>
          <t>L_7PC_ROI</t>
        </is>
      </c>
      <c r="B212" t="n">
        <v>-3.76</v>
      </c>
      <c r="C212" t="n">
        <v>821</v>
      </c>
      <c r="D212" t="inlineStr">
        <is>
          <t>&lt; .001</t>
        </is>
      </c>
      <c r="E212" t="n">
        <v>-0.26</v>
      </c>
      <c r="F212" t="inlineStr">
        <is>
          <t>[-0.40, -0.12]</t>
        </is>
      </c>
      <c r="G212" t="inlineStr">
        <is>
          <t>&lt; .001</t>
        </is>
      </c>
      <c r="H212" t="inlineStr">
        <is>
          <t>✓</t>
        </is>
      </c>
    </row>
    <row r="213">
      <c r="A213" t="inlineStr">
        <is>
          <t>L_LIPv_ROI</t>
        </is>
      </c>
      <c r="B213" t="n">
        <v>-3.44</v>
      </c>
      <c r="C213" t="n">
        <v>821</v>
      </c>
      <c r="D213" t="inlineStr">
        <is>
          <t>&lt; .001</t>
        </is>
      </c>
      <c r="E213" t="n">
        <v>-0.24</v>
      </c>
      <c r="F213" t="inlineStr">
        <is>
          <t>[-0.38, -0.10]</t>
        </is>
      </c>
      <c r="G213" t="inlineStr">
        <is>
          <t>&lt; .001</t>
        </is>
      </c>
      <c r="H213" t="inlineStr">
        <is>
          <t>✓</t>
        </is>
      </c>
    </row>
    <row r="214">
      <c r="A214" t="inlineStr">
        <is>
          <t>L_VIP_ROI</t>
        </is>
      </c>
      <c r="B214" t="n">
        <v>-4.46</v>
      </c>
      <c r="C214" t="n">
        <v>821</v>
      </c>
      <c r="D214" t="inlineStr">
        <is>
          <t>&lt; .001</t>
        </is>
      </c>
      <c r="E214" t="n">
        <v>-0.31</v>
      </c>
      <c r="F214" t="inlineStr">
        <is>
          <t>[-0.45, -0.17]</t>
        </is>
      </c>
      <c r="G214" t="inlineStr">
        <is>
          <t>&lt; .001</t>
        </is>
      </c>
      <c r="H214" t="inlineStr">
        <is>
          <t>✓</t>
        </is>
      </c>
    </row>
    <row r="215">
      <c r="A215" t="inlineStr">
        <is>
          <t>L_MIP_ROI</t>
        </is>
      </c>
      <c r="B215" t="n">
        <v>-2.9</v>
      </c>
      <c r="C215" t="n">
        <v>821</v>
      </c>
      <c r="D215">
        <f> 0.004</f>
        <v/>
      </c>
      <c r="E215" t="n">
        <v>-0.2</v>
      </c>
      <c r="F215" t="inlineStr">
        <is>
          <t>[-0.34, -0.06]</t>
        </is>
      </c>
      <c r="G215">
        <f> 0.005</f>
        <v/>
      </c>
      <c r="H215" t="inlineStr">
        <is>
          <t>✓</t>
        </is>
      </c>
    </row>
    <row r="216">
      <c r="A216" t="inlineStr">
        <is>
          <t>L_1_ROI</t>
        </is>
      </c>
      <c r="B216" t="n">
        <v>-4.6</v>
      </c>
      <c r="C216" t="n">
        <v>821</v>
      </c>
      <c r="D216" t="inlineStr">
        <is>
          <t>&lt; .001</t>
        </is>
      </c>
      <c r="E216" t="n">
        <v>-0.32</v>
      </c>
      <c r="F216" t="inlineStr">
        <is>
          <t>[-0.46, -0.18]</t>
        </is>
      </c>
      <c r="G216" t="inlineStr">
        <is>
          <t>&lt; .001</t>
        </is>
      </c>
      <c r="H216" t="inlineStr">
        <is>
          <t>✓</t>
        </is>
      </c>
    </row>
    <row r="217">
      <c r="A217" t="inlineStr">
        <is>
          <t>L_2_ROI</t>
        </is>
      </c>
      <c r="B217" t="n">
        <v>-4.7</v>
      </c>
      <c r="C217" t="n">
        <v>821</v>
      </c>
      <c r="D217" t="inlineStr">
        <is>
          <t>&lt; .001</t>
        </is>
      </c>
      <c r="E217" t="n">
        <v>-0.33</v>
      </c>
      <c r="F217" t="inlineStr">
        <is>
          <t>[-0.47, -0.19]</t>
        </is>
      </c>
      <c r="G217" t="inlineStr">
        <is>
          <t>&lt; .001</t>
        </is>
      </c>
      <c r="H217" t="inlineStr">
        <is>
          <t>✓</t>
        </is>
      </c>
    </row>
    <row r="218">
      <c r="A218" t="inlineStr">
        <is>
          <t>L_3a_ROI</t>
        </is>
      </c>
      <c r="B218" t="n">
        <v>-3.09</v>
      </c>
      <c r="C218" t="n">
        <v>821</v>
      </c>
      <c r="D218">
        <f> 0.002</f>
        <v/>
      </c>
      <c r="E218" t="n">
        <v>-0.22</v>
      </c>
      <c r="F218" t="inlineStr">
        <is>
          <t>[-0.35, -0.08]</t>
        </is>
      </c>
      <c r="G218">
        <f> 0.003</f>
        <v/>
      </c>
      <c r="H218" t="inlineStr">
        <is>
          <t>✓</t>
        </is>
      </c>
    </row>
    <row r="219">
      <c r="A219" t="inlineStr">
        <is>
          <t>L_6d_ROI</t>
        </is>
      </c>
      <c r="B219" t="n">
        <v>-4.01</v>
      </c>
      <c r="C219" t="n">
        <v>821</v>
      </c>
      <c r="D219" t="inlineStr">
        <is>
          <t>&lt; .001</t>
        </is>
      </c>
      <c r="E219" t="n">
        <v>-0.28</v>
      </c>
      <c r="F219" t="inlineStr">
        <is>
          <t>[-0.42, -0.14]</t>
        </is>
      </c>
      <c r="G219" t="inlineStr">
        <is>
          <t>&lt; .001</t>
        </is>
      </c>
      <c r="H219" t="inlineStr">
        <is>
          <t>✓</t>
        </is>
      </c>
    </row>
    <row r="220">
      <c r="A220" t="inlineStr">
        <is>
          <t>L_6mp_ROI</t>
        </is>
      </c>
      <c r="B220" t="n">
        <v>-3.95</v>
      </c>
      <c r="C220" t="n">
        <v>821</v>
      </c>
      <c r="D220" t="inlineStr">
        <is>
          <t>&lt; .001</t>
        </is>
      </c>
      <c r="E220" t="n">
        <v>-0.28</v>
      </c>
      <c r="F220" t="inlineStr">
        <is>
          <t>[-0.41, -0.14]</t>
        </is>
      </c>
      <c r="G220" t="inlineStr">
        <is>
          <t>&lt; .001</t>
        </is>
      </c>
      <c r="H220" t="inlineStr">
        <is>
          <t>✓</t>
        </is>
      </c>
    </row>
    <row r="221">
      <c r="A221" t="inlineStr">
        <is>
          <t>L_6v_ROI</t>
        </is>
      </c>
      <c r="B221" t="n">
        <v>-4.55</v>
      </c>
      <c r="C221" t="n">
        <v>821</v>
      </c>
      <c r="D221" t="inlineStr">
        <is>
          <t>&lt; .001</t>
        </is>
      </c>
      <c r="E221" t="n">
        <v>-0.32</v>
      </c>
      <c r="F221" t="inlineStr">
        <is>
          <t>[-0.45, -0.18]</t>
        </is>
      </c>
      <c r="G221" t="inlineStr">
        <is>
          <t>&lt; .001</t>
        </is>
      </c>
      <c r="H221" t="inlineStr">
        <is>
          <t>✓</t>
        </is>
      </c>
    </row>
    <row r="222">
      <c r="A222" t="inlineStr">
        <is>
          <t>L_p24pr_ROI</t>
        </is>
      </c>
      <c r="B222" t="n">
        <v>-2.28</v>
      </c>
      <c r="C222" t="n">
        <v>821</v>
      </c>
      <c r="D222">
        <f> 0.023</f>
        <v/>
      </c>
      <c r="E222" t="n">
        <v>-0.16</v>
      </c>
      <c r="F222" t="inlineStr">
        <is>
          <t>[-0.30, -0.02]</t>
        </is>
      </c>
      <c r="G222">
        <f> 0.026</f>
        <v/>
      </c>
      <c r="H222" t="inlineStr">
        <is>
          <t>✓</t>
        </is>
      </c>
    </row>
    <row r="223">
      <c r="A223" t="inlineStr">
        <is>
          <t>L_a24pr_ROI</t>
        </is>
      </c>
      <c r="B223" t="n">
        <v>-3.09</v>
      </c>
      <c r="C223" t="n">
        <v>821</v>
      </c>
      <c r="D223">
        <f> 0.002</f>
        <v/>
      </c>
      <c r="E223" t="n">
        <v>-0.22</v>
      </c>
      <c r="F223" t="inlineStr">
        <is>
          <t>[-0.35, -0.08]</t>
        </is>
      </c>
      <c r="G223">
        <f> 0.003</f>
        <v/>
      </c>
      <c r="H223" t="inlineStr">
        <is>
          <t>✓</t>
        </is>
      </c>
    </row>
    <row r="224">
      <c r="A224" t="inlineStr">
        <is>
          <t>L_p32pr_ROI</t>
        </is>
      </c>
      <c r="B224" t="n">
        <v>-4.81</v>
      </c>
      <c r="C224" t="n">
        <v>821</v>
      </c>
      <c r="D224" t="inlineStr">
        <is>
          <t>&lt; .001</t>
        </is>
      </c>
      <c r="E224" t="n">
        <v>-0.34</v>
      </c>
      <c r="F224" t="inlineStr">
        <is>
          <t>[-0.47, -0.20]</t>
        </is>
      </c>
      <c r="G224" t="inlineStr">
        <is>
          <t>&lt; .001</t>
        </is>
      </c>
      <c r="H224" t="inlineStr">
        <is>
          <t>✓</t>
        </is>
      </c>
    </row>
    <row r="225">
      <c r="A225" t="inlineStr">
        <is>
          <t>L_d32_ROI</t>
        </is>
      </c>
      <c r="B225" t="n">
        <v>-4.29</v>
      </c>
      <c r="C225" t="n">
        <v>821</v>
      </c>
      <c r="D225" t="inlineStr">
        <is>
          <t>&lt; .001</t>
        </is>
      </c>
      <c r="E225" t="n">
        <v>-0.3</v>
      </c>
      <c r="F225" t="inlineStr">
        <is>
          <t>[-0.44, -0.16]</t>
        </is>
      </c>
      <c r="G225" t="inlineStr">
        <is>
          <t>&lt; .001</t>
        </is>
      </c>
      <c r="H225" t="inlineStr">
        <is>
          <t>✓</t>
        </is>
      </c>
    </row>
    <row r="226">
      <c r="A226" t="inlineStr">
        <is>
          <t>L_8BM_ROI</t>
        </is>
      </c>
      <c r="B226" t="n">
        <v>-4.55</v>
      </c>
      <c r="C226" t="n">
        <v>821</v>
      </c>
      <c r="D226" t="inlineStr">
        <is>
          <t>&lt; .001</t>
        </is>
      </c>
      <c r="E226" t="n">
        <v>-0.32</v>
      </c>
      <c r="F226" t="inlineStr">
        <is>
          <t>[-0.45, -0.18]</t>
        </is>
      </c>
      <c r="G226" t="inlineStr">
        <is>
          <t>&lt; .001</t>
        </is>
      </c>
      <c r="H226" t="inlineStr">
        <is>
          <t>✓</t>
        </is>
      </c>
    </row>
    <row r="227">
      <c r="A227" t="inlineStr">
        <is>
          <t>L_8Av_ROI</t>
        </is>
      </c>
      <c r="B227" t="n">
        <v>-4.3</v>
      </c>
      <c r="C227" t="n">
        <v>821</v>
      </c>
      <c r="D227" t="inlineStr">
        <is>
          <t>&lt; .001</t>
        </is>
      </c>
      <c r="E227" t="n">
        <v>-0.3</v>
      </c>
      <c r="F227" t="inlineStr">
        <is>
          <t>[-0.44, -0.16]</t>
        </is>
      </c>
      <c r="G227" t="inlineStr">
        <is>
          <t>&lt; .001</t>
        </is>
      </c>
      <c r="H227" t="inlineStr">
        <is>
          <t>✓</t>
        </is>
      </c>
    </row>
    <row r="228">
      <c r="A228" t="inlineStr">
        <is>
          <t>L_8Ad_ROI</t>
        </is>
      </c>
      <c r="B228" t="n">
        <v>-3.14</v>
      </c>
      <c r="C228" t="n">
        <v>821</v>
      </c>
      <c r="D228">
        <f> 0.002</f>
        <v/>
      </c>
      <c r="E228" t="n">
        <v>-0.22</v>
      </c>
      <c r="F228" t="inlineStr">
        <is>
          <t>[-0.36, -0.08]</t>
        </is>
      </c>
      <c r="G228">
        <f> 0.003</f>
        <v/>
      </c>
      <c r="H228" t="inlineStr">
        <is>
          <t>✓</t>
        </is>
      </c>
    </row>
    <row r="229">
      <c r="A229" t="inlineStr">
        <is>
          <t>L_9m_ROI</t>
        </is>
      </c>
      <c r="B229" t="n">
        <v>-3.47</v>
      </c>
      <c r="C229" t="n">
        <v>821</v>
      </c>
      <c r="D229" t="inlineStr">
        <is>
          <t>&lt; .001</t>
        </is>
      </c>
      <c r="E229" t="n">
        <v>-0.24</v>
      </c>
      <c r="F229" t="inlineStr">
        <is>
          <t>[-0.38, -0.10]</t>
        </is>
      </c>
      <c r="G229" t="inlineStr">
        <is>
          <t>&lt; .001</t>
        </is>
      </c>
      <c r="H229" t="inlineStr">
        <is>
          <t>✓</t>
        </is>
      </c>
    </row>
    <row r="230">
      <c r="A230" t="inlineStr">
        <is>
          <t>L_8BL_ROI</t>
        </is>
      </c>
      <c r="B230" t="n">
        <v>-4.14</v>
      </c>
      <c r="C230" t="n">
        <v>821</v>
      </c>
      <c r="D230" t="inlineStr">
        <is>
          <t>&lt; .001</t>
        </is>
      </c>
      <c r="E230" t="n">
        <v>-0.29</v>
      </c>
      <c r="F230" t="inlineStr">
        <is>
          <t>[-0.43, -0.15]</t>
        </is>
      </c>
      <c r="G230" t="inlineStr">
        <is>
          <t>&lt; .001</t>
        </is>
      </c>
      <c r="H230" t="inlineStr">
        <is>
          <t>✓</t>
        </is>
      </c>
    </row>
    <row r="231">
      <c r="A231" t="inlineStr">
        <is>
          <t>L_9p_ROI</t>
        </is>
      </c>
      <c r="B231" t="n">
        <v>-3.86</v>
      </c>
      <c r="C231" t="n">
        <v>821</v>
      </c>
      <c r="D231" t="inlineStr">
        <is>
          <t>&lt; .001</t>
        </is>
      </c>
      <c r="E231" t="n">
        <v>-0.27</v>
      </c>
      <c r="F231" t="inlineStr">
        <is>
          <t>[-0.41, -0.13]</t>
        </is>
      </c>
      <c r="G231" t="inlineStr">
        <is>
          <t>&lt; .001</t>
        </is>
      </c>
      <c r="H231" t="inlineStr">
        <is>
          <t>✓</t>
        </is>
      </c>
    </row>
    <row r="232">
      <c r="A232" t="inlineStr">
        <is>
          <t>L_10d_ROI</t>
        </is>
      </c>
      <c r="B232" t="n">
        <v>-2.45</v>
      </c>
      <c r="C232" t="n">
        <v>821</v>
      </c>
      <c r="D232">
        <f> 0.014</f>
        <v/>
      </c>
      <c r="E232" t="n">
        <v>-0.17</v>
      </c>
      <c r="F232" t="inlineStr">
        <is>
          <t>[-0.31, -0.03]</t>
        </is>
      </c>
      <c r="G232">
        <f> 0.017</f>
        <v/>
      </c>
      <c r="H232" t="inlineStr">
        <is>
          <t>✓</t>
        </is>
      </c>
    </row>
    <row r="233">
      <c r="A233" t="inlineStr">
        <is>
          <t>L_8C_ROI</t>
        </is>
      </c>
      <c r="B233" t="n">
        <v>-4.08</v>
      </c>
      <c r="C233" t="n">
        <v>821</v>
      </c>
      <c r="D233" t="inlineStr">
        <is>
          <t>&lt; .001</t>
        </is>
      </c>
      <c r="E233" t="n">
        <v>-0.28</v>
      </c>
      <c r="F233" t="inlineStr">
        <is>
          <t>[-0.42, -0.15]</t>
        </is>
      </c>
      <c r="G233" t="inlineStr">
        <is>
          <t>&lt; .001</t>
        </is>
      </c>
      <c r="H233" t="inlineStr">
        <is>
          <t>✓</t>
        </is>
      </c>
    </row>
    <row r="234">
      <c r="A234" t="inlineStr">
        <is>
          <t>L_44_ROI</t>
        </is>
      </c>
      <c r="B234" t="n">
        <v>-3.86</v>
      </c>
      <c r="C234" t="n">
        <v>821</v>
      </c>
      <c r="D234" t="inlineStr">
        <is>
          <t>&lt; .001</t>
        </is>
      </c>
      <c r="E234" t="n">
        <v>-0.27</v>
      </c>
      <c r="F234" t="inlineStr">
        <is>
          <t>[-0.41, -0.13]</t>
        </is>
      </c>
      <c r="G234" t="inlineStr">
        <is>
          <t>&lt; .001</t>
        </is>
      </c>
      <c r="H234" t="inlineStr">
        <is>
          <t>✓</t>
        </is>
      </c>
    </row>
    <row r="235">
      <c r="A235" t="inlineStr">
        <is>
          <t>L_45_ROI</t>
        </is>
      </c>
      <c r="B235" t="n">
        <v>-3.84</v>
      </c>
      <c r="C235" t="n">
        <v>821</v>
      </c>
      <c r="D235" t="inlineStr">
        <is>
          <t>&lt; .001</t>
        </is>
      </c>
      <c r="E235" t="n">
        <v>-0.27</v>
      </c>
      <c r="F235" t="inlineStr">
        <is>
          <t>[-0.41, -0.13]</t>
        </is>
      </c>
      <c r="G235" t="inlineStr">
        <is>
          <t>&lt; .001</t>
        </is>
      </c>
      <c r="H235" t="inlineStr">
        <is>
          <t>✓</t>
        </is>
      </c>
    </row>
    <row r="236">
      <c r="A236" t="inlineStr">
        <is>
          <t>L_47l_ROI</t>
        </is>
      </c>
      <c r="B236" t="n">
        <v>-3.45</v>
      </c>
      <c r="C236" t="n">
        <v>821</v>
      </c>
      <c r="D236" t="inlineStr">
        <is>
          <t>&lt; .001</t>
        </is>
      </c>
      <c r="E236" t="n">
        <v>-0.24</v>
      </c>
      <c r="F236" t="inlineStr">
        <is>
          <t>[-0.38, -0.10]</t>
        </is>
      </c>
      <c r="G236" t="inlineStr">
        <is>
          <t>&lt; .001</t>
        </is>
      </c>
      <c r="H236" t="inlineStr">
        <is>
          <t>✓</t>
        </is>
      </c>
    </row>
    <row r="237">
      <c r="A237" t="inlineStr">
        <is>
          <t>L_a47r_ROI</t>
        </is>
      </c>
      <c r="B237" t="n">
        <v>-2.88</v>
      </c>
      <c r="C237" t="n">
        <v>821</v>
      </c>
      <c r="D237">
        <f> 0.004</f>
        <v/>
      </c>
      <c r="E237" t="n">
        <v>-0.2</v>
      </c>
      <c r="F237" t="inlineStr">
        <is>
          <t>[-0.34, -0.06]</t>
        </is>
      </c>
      <c r="G237">
        <f> 0.006</f>
        <v/>
      </c>
      <c r="H237" t="inlineStr">
        <is>
          <t>✓</t>
        </is>
      </c>
    </row>
    <row r="238">
      <c r="A238" t="inlineStr">
        <is>
          <t>L_6r_ROI</t>
        </is>
      </c>
      <c r="B238" t="n">
        <v>-4.04</v>
      </c>
      <c r="C238" t="n">
        <v>821</v>
      </c>
      <c r="D238" t="inlineStr">
        <is>
          <t>&lt; .001</t>
        </is>
      </c>
      <c r="E238" t="n">
        <v>-0.28</v>
      </c>
      <c r="F238" t="inlineStr">
        <is>
          <t>[-0.42, -0.14]</t>
        </is>
      </c>
      <c r="G238" t="inlineStr">
        <is>
          <t>&lt; .001</t>
        </is>
      </c>
      <c r="H238" t="inlineStr">
        <is>
          <t>✓</t>
        </is>
      </c>
    </row>
    <row r="239">
      <c r="A239" t="inlineStr">
        <is>
          <t>L_IFJa_ROI</t>
        </is>
      </c>
      <c r="B239" t="n">
        <v>-4.13</v>
      </c>
      <c r="C239" t="n">
        <v>821</v>
      </c>
      <c r="D239" t="inlineStr">
        <is>
          <t>&lt; .001</t>
        </is>
      </c>
      <c r="E239" t="n">
        <v>-0.29</v>
      </c>
      <c r="F239" t="inlineStr">
        <is>
          <t>[-0.43, -0.15]</t>
        </is>
      </c>
      <c r="G239" t="inlineStr">
        <is>
          <t>&lt; .001</t>
        </is>
      </c>
      <c r="H239" t="inlineStr">
        <is>
          <t>✓</t>
        </is>
      </c>
    </row>
    <row r="240">
      <c r="A240" t="inlineStr">
        <is>
          <t>L_IFJp_ROI</t>
        </is>
      </c>
      <c r="B240" t="n">
        <v>-3.47</v>
      </c>
      <c r="C240" t="n">
        <v>821</v>
      </c>
      <c r="D240" t="inlineStr">
        <is>
          <t>&lt; .001</t>
        </is>
      </c>
      <c r="E240" t="n">
        <v>-0.24</v>
      </c>
      <c r="F240" t="inlineStr">
        <is>
          <t>[-0.38, -0.11]</t>
        </is>
      </c>
      <c r="G240" t="inlineStr">
        <is>
          <t>&lt; .001</t>
        </is>
      </c>
      <c r="H240" t="inlineStr">
        <is>
          <t>✓</t>
        </is>
      </c>
    </row>
    <row r="241">
      <c r="A241" t="inlineStr">
        <is>
          <t>L_IFSp_ROI</t>
        </is>
      </c>
      <c r="B241" t="n">
        <v>-3.7</v>
      </c>
      <c r="C241" t="n">
        <v>821</v>
      </c>
      <c r="D241" t="inlineStr">
        <is>
          <t>&lt; .001</t>
        </is>
      </c>
      <c r="E241" t="n">
        <v>-0.26</v>
      </c>
      <c r="F241" t="inlineStr">
        <is>
          <t>[-0.39, -0.12]</t>
        </is>
      </c>
      <c r="G241" t="inlineStr">
        <is>
          <t>&lt; .001</t>
        </is>
      </c>
      <c r="H241" t="inlineStr">
        <is>
          <t>✓</t>
        </is>
      </c>
    </row>
    <row r="242">
      <c r="A242" t="inlineStr">
        <is>
          <t>L_IFSa_ROI</t>
        </is>
      </c>
      <c r="B242" t="n">
        <v>-3.02</v>
      </c>
      <c r="C242" t="n">
        <v>821</v>
      </c>
      <c r="D242">
        <f> 0.003</f>
        <v/>
      </c>
      <c r="E242" t="n">
        <v>-0.21</v>
      </c>
      <c r="F242" t="inlineStr">
        <is>
          <t>[-0.35, -0.07]</t>
        </is>
      </c>
      <c r="G242">
        <f> 0.004</f>
        <v/>
      </c>
      <c r="H242" t="inlineStr">
        <is>
          <t>✓</t>
        </is>
      </c>
    </row>
    <row r="243">
      <c r="A243" t="inlineStr">
        <is>
          <t>L_p9_46v_ROI</t>
        </is>
      </c>
      <c r="B243" t="n">
        <v>-3.77</v>
      </c>
      <c r="C243" t="n">
        <v>821</v>
      </c>
      <c r="D243" t="inlineStr">
        <is>
          <t>&lt; .001</t>
        </is>
      </c>
      <c r="E243" t="n">
        <v>-0.26</v>
      </c>
      <c r="F243" t="inlineStr">
        <is>
          <t>[-0.40, -0.13]</t>
        </is>
      </c>
      <c r="G243" t="inlineStr">
        <is>
          <t>&lt; .001</t>
        </is>
      </c>
      <c r="H243" t="inlineStr">
        <is>
          <t>✓</t>
        </is>
      </c>
    </row>
    <row r="244">
      <c r="A244" t="inlineStr">
        <is>
          <t>L_46_ROI</t>
        </is>
      </c>
      <c r="B244" t="n">
        <v>-3.82</v>
      </c>
      <c r="C244" t="n">
        <v>821</v>
      </c>
      <c r="D244" t="inlineStr">
        <is>
          <t>&lt; .001</t>
        </is>
      </c>
      <c r="E244" t="n">
        <v>-0.27</v>
      </c>
      <c r="F244" t="inlineStr">
        <is>
          <t>[-0.40, -0.13]</t>
        </is>
      </c>
      <c r="G244" t="inlineStr">
        <is>
          <t>&lt; .001</t>
        </is>
      </c>
      <c r="H244" t="inlineStr">
        <is>
          <t>✓</t>
        </is>
      </c>
    </row>
    <row r="245">
      <c r="A245" t="inlineStr">
        <is>
          <t>L_a9_46v_ROI</t>
        </is>
      </c>
      <c r="B245" t="n">
        <v>-3.17</v>
      </c>
      <c r="C245" t="n">
        <v>821</v>
      </c>
      <c r="D245">
        <f> 0.002</f>
        <v/>
      </c>
      <c r="E245" t="n">
        <v>-0.22</v>
      </c>
      <c r="F245" t="inlineStr">
        <is>
          <t>[-0.36, -0.08]</t>
        </is>
      </c>
      <c r="G245">
        <f> 0.002</f>
        <v/>
      </c>
      <c r="H245" t="inlineStr">
        <is>
          <t>✓</t>
        </is>
      </c>
    </row>
    <row r="246">
      <c r="A246" t="inlineStr">
        <is>
          <t>L_9_46d_ROI</t>
        </is>
      </c>
      <c r="B246" t="n">
        <v>-3.84</v>
      </c>
      <c r="C246" t="n">
        <v>821</v>
      </c>
      <c r="D246" t="inlineStr">
        <is>
          <t>&lt; .001</t>
        </is>
      </c>
      <c r="E246" t="n">
        <v>-0.27</v>
      </c>
      <c r="F246" t="inlineStr">
        <is>
          <t>[-0.41, -0.13]</t>
        </is>
      </c>
      <c r="G246" t="inlineStr">
        <is>
          <t>&lt; .001</t>
        </is>
      </c>
      <c r="H246" t="inlineStr">
        <is>
          <t>✓</t>
        </is>
      </c>
    </row>
    <row r="247">
      <c r="A247" t="inlineStr">
        <is>
          <t>L_9a_ROI</t>
        </is>
      </c>
      <c r="B247" t="n">
        <v>-3.62</v>
      </c>
      <c r="C247" t="n">
        <v>821</v>
      </c>
      <c r="D247" t="inlineStr">
        <is>
          <t>&lt; .001</t>
        </is>
      </c>
      <c r="E247" t="n">
        <v>-0.25</v>
      </c>
      <c r="F247" t="inlineStr">
        <is>
          <t>[-0.39, -0.12]</t>
        </is>
      </c>
      <c r="G247" t="inlineStr">
        <is>
          <t>&lt; .001</t>
        </is>
      </c>
      <c r="H247" t="inlineStr">
        <is>
          <t>✓</t>
        </is>
      </c>
    </row>
    <row r="248">
      <c r="A248" t="inlineStr">
        <is>
          <t>L_a10p_ROI</t>
        </is>
      </c>
      <c r="B248" t="n">
        <v>-2.9</v>
      </c>
      <c r="C248" t="n">
        <v>821</v>
      </c>
      <c r="D248">
        <f> 0.004</f>
        <v/>
      </c>
      <c r="E248" t="n">
        <v>-0.2</v>
      </c>
      <c r="F248" t="inlineStr">
        <is>
          <t>[-0.34, -0.06]</t>
        </is>
      </c>
      <c r="G248">
        <f> 0.005</f>
        <v/>
      </c>
      <c r="H248" t="inlineStr">
        <is>
          <t>✓</t>
        </is>
      </c>
    </row>
    <row r="249">
      <c r="A249" t="inlineStr">
        <is>
          <t>L_13l_ROI</t>
        </is>
      </c>
      <c r="B249" t="n">
        <v>-3.83</v>
      </c>
      <c r="C249" t="n">
        <v>821</v>
      </c>
      <c r="D249" t="inlineStr">
        <is>
          <t>&lt; .001</t>
        </is>
      </c>
      <c r="E249" t="n">
        <v>-0.27</v>
      </c>
      <c r="F249" t="inlineStr">
        <is>
          <t>[-0.40, -0.13]</t>
        </is>
      </c>
      <c r="G249" t="inlineStr">
        <is>
          <t>&lt; .001</t>
        </is>
      </c>
      <c r="H249" t="inlineStr">
        <is>
          <t>✓</t>
        </is>
      </c>
    </row>
    <row r="250">
      <c r="A250" t="inlineStr">
        <is>
          <t>L_47s_ROI</t>
        </is>
      </c>
      <c r="B250" t="n">
        <v>-3.98</v>
      </c>
      <c r="C250" t="n">
        <v>821</v>
      </c>
      <c r="D250" t="inlineStr">
        <is>
          <t>&lt; .001</t>
        </is>
      </c>
      <c r="E250" t="n">
        <v>-0.28</v>
      </c>
      <c r="F250" t="inlineStr">
        <is>
          <t>[-0.42, -0.14]</t>
        </is>
      </c>
      <c r="G250" t="inlineStr">
        <is>
          <t>&lt; .001</t>
        </is>
      </c>
      <c r="H250" t="inlineStr">
        <is>
          <t>✓</t>
        </is>
      </c>
    </row>
    <row r="251">
      <c r="A251" t="inlineStr">
        <is>
          <t>L_LIPd_ROI</t>
        </is>
      </c>
      <c r="B251" t="n">
        <v>-4.54</v>
      </c>
      <c r="C251" t="n">
        <v>821</v>
      </c>
      <c r="D251" t="inlineStr">
        <is>
          <t>&lt; .001</t>
        </is>
      </c>
      <c r="E251" t="n">
        <v>-0.32</v>
      </c>
      <c r="F251" t="inlineStr">
        <is>
          <t>[-0.45, -0.18]</t>
        </is>
      </c>
      <c r="G251" t="inlineStr">
        <is>
          <t>&lt; .001</t>
        </is>
      </c>
      <c r="H251" t="inlineStr">
        <is>
          <t>✓</t>
        </is>
      </c>
    </row>
    <row r="252">
      <c r="A252" t="inlineStr">
        <is>
          <t>L_6a_ROI</t>
        </is>
      </c>
      <c r="B252" t="n">
        <v>-4.34</v>
      </c>
      <c r="C252" t="n">
        <v>821</v>
      </c>
      <c r="D252" t="inlineStr">
        <is>
          <t>&lt; .001</t>
        </is>
      </c>
      <c r="E252" t="n">
        <v>-0.3</v>
      </c>
      <c r="F252" t="inlineStr">
        <is>
          <t>[-0.44, -0.17]</t>
        </is>
      </c>
      <c r="G252" t="inlineStr">
        <is>
          <t>&lt; .001</t>
        </is>
      </c>
      <c r="H252" t="inlineStr">
        <is>
          <t>✓</t>
        </is>
      </c>
    </row>
    <row r="253">
      <c r="A253" t="inlineStr">
        <is>
          <t>L_i6_8_ROI</t>
        </is>
      </c>
      <c r="B253" t="n">
        <v>-2.91</v>
      </c>
      <c r="C253" t="n">
        <v>821</v>
      </c>
      <c r="D253">
        <f> 0.004</f>
        <v/>
      </c>
      <c r="E253" t="n">
        <v>-0.2</v>
      </c>
      <c r="F253" t="inlineStr">
        <is>
          <t>[-0.34, -0.07]</t>
        </is>
      </c>
      <c r="G253">
        <f> 0.005</f>
        <v/>
      </c>
      <c r="H253" t="inlineStr">
        <is>
          <t>✓</t>
        </is>
      </c>
    </row>
    <row r="254">
      <c r="A254" t="inlineStr">
        <is>
          <t>L_s6_8_ROI</t>
        </is>
      </c>
      <c r="B254" t="n">
        <v>-3.35</v>
      </c>
      <c r="C254" t="n">
        <v>821</v>
      </c>
      <c r="D254" t="inlineStr">
        <is>
          <t>&lt; .001</t>
        </is>
      </c>
      <c r="E254" t="n">
        <v>-0.23</v>
      </c>
      <c r="F254" t="inlineStr">
        <is>
          <t>[-0.37, -0.10]</t>
        </is>
      </c>
      <c r="G254">
        <f> 0.001</f>
        <v/>
      </c>
      <c r="H254" t="inlineStr">
        <is>
          <t>✓</t>
        </is>
      </c>
    </row>
    <row r="255">
      <c r="A255" t="inlineStr">
        <is>
          <t>L_43_ROI</t>
        </is>
      </c>
      <c r="B255" t="n">
        <v>-3.81</v>
      </c>
      <c r="C255" t="n">
        <v>821</v>
      </c>
      <c r="D255" t="inlineStr">
        <is>
          <t>&lt; .001</t>
        </is>
      </c>
      <c r="E255" t="n">
        <v>-0.27</v>
      </c>
      <c r="F255" t="inlineStr">
        <is>
          <t>[-0.40, -0.13]</t>
        </is>
      </c>
      <c r="G255" t="inlineStr">
        <is>
          <t>&lt; .001</t>
        </is>
      </c>
      <c r="H255" t="inlineStr">
        <is>
          <t>✓</t>
        </is>
      </c>
    </row>
    <row r="256">
      <c r="A256" t="inlineStr">
        <is>
          <t>L_OP4_ROI</t>
        </is>
      </c>
      <c r="B256" t="n">
        <v>-4.12</v>
      </c>
      <c r="C256" t="n">
        <v>821</v>
      </c>
      <c r="D256" t="inlineStr">
        <is>
          <t>&lt; .001</t>
        </is>
      </c>
      <c r="E256" t="n">
        <v>-0.29</v>
      </c>
      <c r="F256" t="inlineStr">
        <is>
          <t>[-0.42, -0.15]</t>
        </is>
      </c>
      <c r="G256" t="inlineStr">
        <is>
          <t>&lt; .001</t>
        </is>
      </c>
      <c r="H256" t="inlineStr">
        <is>
          <t>✓</t>
        </is>
      </c>
    </row>
    <row r="257">
      <c r="A257" t="inlineStr">
        <is>
          <t>L_OP1_ROI</t>
        </is>
      </c>
      <c r="B257" t="n">
        <v>-3.43</v>
      </c>
      <c r="C257" t="n">
        <v>821</v>
      </c>
      <c r="D257" t="inlineStr">
        <is>
          <t>&lt; .001</t>
        </is>
      </c>
      <c r="E257" t="n">
        <v>-0.24</v>
      </c>
      <c r="F257" t="inlineStr">
        <is>
          <t>[-0.38, -0.10]</t>
        </is>
      </c>
      <c r="G257" t="inlineStr">
        <is>
          <t>&lt; .001</t>
        </is>
      </c>
      <c r="H257" t="inlineStr">
        <is>
          <t>✓</t>
        </is>
      </c>
    </row>
    <row r="258">
      <c r="A258" t="inlineStr">
        <is>
          <t>L_OP2_3_ROI</t>
        </is>
      </c>
      <c r="B258" t="n">
        <v>-4.81</v>
      </c>
      <c r="C258" t="n">
        <v>821</v>
      </c>
      <c r="D258" t="inlineStr">
        <is>
          <t>&lt; .001</t>
        </is>
      </c>
      <c r="E258" t="n">
        <v>-0.34</v>
      </c>
      <c r="F258" t="inlineStr">
        <is>
          <t>[-0.47, -0.20]</t>
        </is>
      </c>
      <c r="G258" t="inlineStr">
        <is>
          <t>&lt; .001</t>
        </is>
      </c>
      <c r="H258" t="inlineStr">
        <is>
          <t>✓</t>
        </is>
      </c>
    </row>
    <row r="259">
      <c r="A259" t="inlineStr">
        <is>
          <t>L_52_ROI</t>
        </is>
      </c>
      <c r="B259" t="n">
        <v>-2.51</v>
      </c>
      <c r="C259" t="n">
        <v>821</v>
      </c>
      <c r="D259">
        <f> 0.012</f>
        <v/>
      </c>
      <c r="E259" t="n">
        <v>-0.18</v>
      </c>
      <c r="F259" t="inlineStr">
        <is>
          <t>[-0.31, -0.04]</t>
        </is>
      </c>
      <c r="G259">
        <f> 0.015</f>
        <v/>
      </c>
      <c r="H259" t="inlineStr">
        <is>
          <t>✓</t>
        </is>
      </c>
    </row>
    <row r="260">
      <c r="A260" t="inlineStr">
        <is>
          <t>L_RI_ROI</t>
        </is>
      </c>
      <c r="B260" t="n">
        <v>-4.51</v>
      </c>
      <c r="C260" t="n">
        <v>821</v>
      </c>
      <c r="D260" t="inlineStr">
        <is>
          <t>&lt; .001</t>
        </is>
      </c>
      <c r="E260" t="n">
        <v>-0.31</v>
      </c>
      <c r="F260" t="inlineStr">
        <is>
          <t>[-0.45, -0.18]</t>
        </is>
      </c>
      <c r="G260" t="inlineStr">
        <is>
          <t>&lt; .001</t>
        </is>
      </c>
      <c r="H260" t="inlineStr">
        <is>
          <t>✓</t>
        </is>
      </c>
    </row>
    <row r="261">
      <c r="A261" t="inlineStr">
        <is>
          <t>L_PFcm_ROI</t>
        </is>
      </c>
      <c r="B261" t="n">
        <v>-4.07</v>
      </c>
      <c r="C261" t="n">
        <v>821</v>
      </c>
      <c r="D261" t="inlineStr">
        <is>
          <t>&lt; .001</t>
        </is>
      </c>
      <c r="E261" t="n">
        <v>-0.28</v>
      </c>
      <c r="F261" t="inlineStr">
        <is>
          <t>[-0.42, -0.15]</t>
        </is>
      </c>
      <c r="G261" t="inlineStr">
        <is>
          <t>&lt; .001</t>
        </is>
      </c>
      <c r="H261" t="inlineStr">
        <is>
          <t>✓</t>
        </is>
      </c>
    </row>
    <row r="262">
      <c r="A262" t="inlineStr">
        <is>
          <t>L_PoI2_ROI</t>
        </is>
      </c>
      <c r="B262" t="n">
        <v>-2.22</v>
      </c>
      <c r="C262" t="n">
        <v>821</v>
      </c>
      <c r="D262">
        <f> 0.026</f>
        <v/>
      </c>
      <c r="E262" t="n">
        <v>-0.16</v>
      </c>
      <c r="F262" t="inlineStr">
        <is>
          <t>[-0.29, -0.02]</t>
        </is>
      </c>
      <c r="G262">
        <f> 0.030</f>
        <v/>
      </c>
      <c r="H262" t="inlineStr">
        <is>
          <t>✓</t>
        </is>
      </c>
    </row>
    <row r="263">
      <c r="A263" t="inlineStr">
        <is>
          <t>L_TA2_ROI</t>
        </is>
      </c>
      <c r="B263" t="n">
        <v>-2.33</v>
      </c>
      <c r="C263" t="n">
        <v>821</v>
      </c>
      <c r="D263">
        <f> 0.020</f>
        <v/>
      </c>
      <c r="E263" t="n">
        <v>-0.16</v>
      </c>
      <c r="F263" t="inlineStr">
        <is>
          <t>[-0.30, -0.03]</t>
        </is>
      </c>
      <c r="G263">
        <f> 0.023</f>
        <v/>
      </c>
      <c r="H263" t="inlineStr">
        <is>
          <t>✓</t>
        </is>
      </c>
    </row>
    <row r="264">
      <c r="A264" t="inlineStr">
        <is>
          <t>L_FOP4_ROI</t>
        </is>
      </c>
      <c r="B264" t="n">
        <v>-4.62</v>
      </c>
      <c r="C264" t="n">
        <v>821</v>
      </c>
      <c r="D264" t="inlineStr">
        <is>
          <t>&lt; .001</t>
        </is>
      </c>
      <c r="E264" t="n">
        <v>-0.32</v>
      </c>
      <c r="F264" t="inlineStr">
        <is>
          <t>[-0.46, -0.18]</t>
        </is>
      </c>
      <c r="G264" t="inlineStr">
        <is>
          <t>&lt; .001</t>
        </is>
      </c>
      <c r="H264" t="inlineStr">
        <is>
          <t>✓</t>
        </is>
      </c>
    </row>
    <row r="265">
      <c r="A265" t="inlineStr">
        <is>
          <t>L_MI_ROI</t>
        </is>
      </c>
      <c r="B265" t="n">
        <v>-3.57</v>
      </c>
      <c r="C265" t="n">
        <v>821</v>
      </c>
      <c r="D265" t="inlineStr">
        <is>
          <t>&lt; .001</t>
        </is>
      </c>
      <c r="E265" t="n">
        <v>-0.25</v>
      </c>
      <c r="F265" t="inlineStr">
        <is>
          <t>[-0.39, -0.11]</t>
        </is>
      </c>
      <c r="G265" t="inlineStr">
        <is>
          <t>&lt; .001</t>
        </is>
      </c>
      <c r="H265" t="inlineStr">
        <is>
          <t>✓</t>
        </is>
      </c>
    </row>
    <row r="266">
      <c r="A266" t="inlineStr">
        <is>
          <t>L_Pir_ROI</t>
        </is>
      </c>
      <c r="B266" t="n">
        <v>-3.22</v>
      </c>
      <c r="C266" t="n">
        <v>821</v>
      </c>
      <c r="D266">
        <f> 0.001</f>
        <v/>
      </c>
      <c r="E266" t="n">
        <v>-0.22</v>
      </c>
      <c r="F266" t="inlineStr">
        <is>
          <t>[-0.36, -0.09]</t>
        </is>
      </c>
      <c r="G266">
        <f> 0.002</f>
        <v/>
      </c>
      <c r="H266" t="inlineStr">
        <is>
          <t>✓</t>
        </is>
      </c>
    </row>
    <row r="267">
      <c r="A267" t="inlineStr">
        <is>
          <t>L_AVI_ROI</t>
        </is>
      </c>
      <c r="B267" t="n">
        <v>-2.57</v>
      </c>
      <c r="C267" t="n">
        <v>821</v>
      </c>
      <c r="D267">
        <f> 0.010</f>
        <v/>
      </c>
      <c r="E267" t="n">
        <v>-0.18</v>
      </c>
      <c r="F267" t="inlineStr">
        <is>
          <t>[-0.32, -0.04]</t>
        </is>
      </c>
      <c r="G267">
        <f> 0.013</f>
        <v/>
      </c>
      <c r="H267" t="inlineStr">
        <is>
          <t>✓</t>
        </is>
      </c>
    </row>
    <row r="268">
      <c r="A268" t="inlineStr">
        <is>
          <t>L_AAIC_ROI</t>
        </is>
      </c>
      <c r="B268" t="n">
        <v>-2.08</v>
      </c>
      <c r="C268" t="n">
        <v>821</v>
      </c>
      <c r="D268">
        <f> 0.038</f>
        <v/>
      </c>
      <c r="E268" t="n">
        <v>-0.14</v>
      </c>
      <c r="F268" t="inlineStr">
        <is>
          <t>[-0.28, -0.01]</t>
        </is>
      </c>
      <c r="G268">
        <f> 0.042</f>
        <v/>
      </c>
      <c r="H268" t="inlineStr">
        <is>
          <t>✓</t>
        </is>
      </c>
    </row>
    <row r="269">
      <c r="A269" t="inlineStr">
        <is>
          <t>L_FOP1_ROI</t>
        </is>
      </c>
      <c r="B269" t="n">
        <v>-3.62</v>
      </c>
      <c r="C269" t="n">
        <v>821</v>
      </c>
      <c r="D269" t="inlineStr">
        <is>
          <t>&lt; .001</t>
        </is>
      </c>
      <c r="E269" t="n">
        <v>-0.25</v>
      </c>
      <c r="F269" t="inlineStr">
        <is>
          <t>[-0.39, -0.12]</t>
        </is>
      </c>
      <c r="G269" t="inlineStr">
        <is>
          <t>&lt; .001</t>
        </is>
      </c>
      <c r="H269" t="inlineStr">
        <is>
          <t>✓</t>
        </is>
      </c>
    </row>
    <row r="270">
      <c r="A270" t="inlineStr">
        <is>
          <t>L_FOP3_ROI</t>
        </is>
      </c>
      <c r="B270" t="n">
        <v>-4.3</v>
      </c>
      <c r="C270" t="n">
        <v>821</v>
      </c>
      <c r="D270" t="inlineStr">
        <is>
          <t>&lt; .001</t>
        </is>
      </c>
      <c r="E270" t="n">
        <v>-0.3</v>
      </c>
      <c r="F270" t="inlineStr">
        <is>
          <t>[-0.44, -0.16]</t>
        </is>
      </c>
      <c r="G270" t="inlineStr">
        <is>
          <t>&lt; .001</t>
        </is>
      </c>
      <c r="H270" t="inlineStr">
        <is>
          <t>✓</t>
        </is>
      </c>
    </row>
    <row r="271">
      <c r="A271" t="inlineStr">
        <is>
          <t>L_FOP2_ROI</t>
        </is>
      </c>
      <c r="B271" t="n">
        <v>-3.79</v>
      </c>
      <c r="C271" t="n">
        <v>821</v>
      </c>
      <c r="D271" t="inlineStr">
        <is>
          <t>&lt; .001</t>
        </is>
      </c>
      <c r="E271" t="n">
        <v>-0.26</v>
      </c>
      <c r="F271" t="inlineStr">
        <is>
          <t>[-0.40, -0.13]</t>
        </is>
      </c>
      <c r="G271" t="inlineStr">
        <is>
          <t>&lt; .001</t>
        </is>
      </c>
      <c r="H271" t="inlineStr">
        <is>
          <t>✓</t>
        </is>
      </c>
    </row>
    <row r="272">
      <c r="A272" t="inlineStr">
        <is>
          <t>L_PFt_ROI</t>
        </is>
      </c>
      <c r="B272" t="n">
        <v>-2.98</v>
      </c>
      <c r="C272" t="n">
        <v>821</v>
      </c>
      <c r="D272">
        <f> 0.003</f>
        <v/>
      </c>
      <c r="E272" t="n">
        <v>-0.21</v>
      </c>
      <c r="F272" t="inlineStr">
        <is>
          <t>[-0.34, -0.07]</t>
        </is>
      </c>
      <c r="G272">
        <f> 0.004</f>
        <v/>
      </c>
      <c r="H272" t="inlineStr">
        <is>
          <t>✓</t>
        </is>
      </c>
    </row>
    <row r="273">
      <c r="A273" t="inlineStr">
        <is>
          <t>L_AIP_ROI</t>
        </is>
      </c>
      <c r="B273" t="n">
        <v>-4.35</v>
      </c>
      <c r="C273" t="n">
        <v>821</v>
      </c>
      <c r="D273" t="inlineStr">
        <is>
          <t>&lt; .001</t>
        </is>
      </c>
      <c r="E273" t="n">
        <v>-0.3</v>
      </c>
      <c r="F273" t="inlineStr">
        <is>
          <t>[-0.44, -0.17]</t>
        </is>
      </c>
      <c r="G273" t="inlineStr">
        <is>
          <t>&lt; .001</t>
        </is>
      </c>
      <c r="H273" t="inlineStr">
        <is>
          <t>✓</t>
        </is>
      </c>
    </row>
    <row r="274">
      <c r="A274" t="inlineStr">
        <is>
          <t>L_PreS_ROI</t>
        </is>
      </c>
      <c r="B274" t="n">
        <v>-2.79</v>
      </c>
      <c r="C274" t="n">
        <v>821</v>
      </c>
      <c r="D274">
        <f> 0.005</f>
        <v/>
      </c>
      <c r="E274" t="n">
        <v>-0.19</v>
      </c>
      <c r="F274" t="inlineStr">
        <is>
          <t>[-0.33, -0.06]</t>
        </is>
      </c>
      <c r="G274">
        <f> 0.007</f>
        <v/>
      </c>
      <c r="H274" t="inlineStr">
        <is>
          <t>✓</t>
        </is>
      </c>
    </row>
    <row r="275">
      <c r="A275" t="inlineStr">
        <is>
          <t>L_H_ROI</t>
        </is>
      </c>
      <c r="B275" t="n">
        <v>-4.38</v>
      </c>
      <c r="C275" t="n">
        <v>821</v>
      </c>
      <c r="D275" t="inlineStr">
        <is>
          <t>&lt; .001</t>
        </is>
      </c>
      <c r="E275" t="n">
        <v>-0.31</v>
      </c>
      <c r="F275" t="inlineStr">
        <is>
          <t>[-0.44, -0.17]</t>
        </is>
      </c>
      <c r="G275" t="inlineStr">
        <is>
          <t>&lt; .001</t>
        </is>
      </c>
      <c r="H275" t="inlineStr">
        <is>
          <t>✓</t>
        </is>
      </c>
    </row>
    <row r="276">
      <c r="A276" t="inlineStr">
        <is>
          <t>L_ProS_ROI</t>
        </is>
      </c>
      <c r="B276" t="n">
        <v>-2.28</v>
      </c>
      <c r="C276" t="n">
        <v>821</v>
      </c>
      <c r="D276">
        <f> 0.023</f>
        <v/>
      </c>
      <c r="E276" t="n">
        <v>-0.16</v>
      </c>
      <c r="F276" t="inlineStr">
        <is>
          <t>[-0.30, -0.02]</t>
        </is>
      </c>
      <c r="G276">
        <f> 0.027</f>
        <v/>
      </c>
      <c r="H276" t="inlineStr">
        <is>
          <t>✓</t>
        </is>
      </c>
    </row>
    <row r="277">
      <c r="A277" t="inlineStr">
        <is>
          <t>L_PeEc_ROI</t>
        </is>
      </c>
      <c r="B277" t="n">
        <v>-3.26</v>
      </c>
      <c r="C277" t="n">
        <v>821</v>
      </c>
      <c r="D277">
        <f> 0.001</f>
        <v/>
      </c>
      <c r="E277" t="n">
        <v>-0.23</v>
      </c>
      <c r="F277" t="inlineStr">
        <is>
          <t>[-0.36, -0.09]</t>
        </is>
      </c>
      <c r="G277">
        <f> 0.002</f>
        <v/>
      </c>
      <c r="H277" t="inlineStr">
        <is>
          <t>✓</t>
        </is>
      </c>
    </row>
    <row r="278">
      <c r="A278" t="inlineStr">
        <is>
          <t>L_STGa_ROI</t>
        </is>
      </c>
      <c r="B278" t="n">
        <v>-3.82</v>
      </c>
      <c r="C278" t="n">
        <v>821</v>
      </c>
      <c r="D278" t="inlineStr">
        <is>
          <t>&lt; .001</t>
        </is>
      </c>
      <c r="E278" t="n">
        <v>-0.27</v>
      </c>
      <c r="F278" t="inlineStr">
        <is>
          <t>[-0.40, -0.13]</t>
        </is>
      </c>
      <c r="G278" t="inlineStr">
        <is>
          <t>&lt; .001</t>
        </is>
      </c>
      <c r="H278" t="inlineStr">
        <is>
          <t>✓</t>
        </is>
      </c>
    </row>
    <row r="279">
      <c r="A279" t="inlineStr">
        <is>
          <t>L_PBelt_ROI</t>
        </is>
      </c>
      <c r="B279" t="n">
        <v>-3.48</v>
      </c>
      <c r="C279" t="n">
        <v>821</v>
      </c>
      <c r="D279" t="inlineStr">
        <is>
          <t>&lt; .001</t>
        </is>
      </c>
      <c r="E279" t="n">
        <v>-0.24</v>
      </c>
      <c r="F279" t="inlineStr">
        <is>
          <t>[-0.38, -0.11]</t>
        </is>
      </c>
      <c r="G279" t="inlineStr">
        <is>
          <t>&lt; .001</t>
        </is>
      </c>
      <c r="H279" t="inlineStr">
        <is>
          <t>✓</t>
        </is>
      </c>
    </row>
    <row r="280">
      <c r="A280" t="inlineStr">
        <is>
          <t>L_A5_ROI</t>
        </is>
      </c>
      <c r="B280" t="n">
        <v>-3.96</v>
      </c>
      <c r="C280" t="n">
        <v>821</v>
      </c>
      <c r="D280" t="inlineStr">
        <is>
          <t>&lt; .001</t>
        </is>
      </c>
      <c r="E280" t="n">
        <v>-0.28</v>
      </c>
      <c r="F280" t="inlineStr">
        <is>
          <t>[-0.41, -0.14]</t>
        </is>
      </c>
      <c r="G280" t="inlineStr">
        <is>
          <t>&lt; .001</t>
        </is>
      </c>
      <c r="H280" t="inlineStr">
        <is>
          <t>✓</t>
        </is>
      </c>
    </row>
    <row r="281">
      <c r="A281" t="inlineStr">
        <is>
          <t>L_PHA1_ROI</t>
        </is>
      </c>
      <c r="B281" t="n">
        <v>-4.53</v>
      </c>
      <c r="C281" t="n">
        <v>821</v>
      </c>
      <c r="D281" t="inlineStr">
        <is>
          <t>&lt; .001</t>
        </is>
      </c>
      <c r="E281" t="n">
        <v>-0.32</v>
      </c>
      <c r="F281" t="inlineStr">
        <is>
          <t>[-0.45, -0.18]</t>
        </is>
      </c>
      <c r="G281" t="inlineStr">
        <is>
          <t>&lt; .001</t>
        </is>
      </c>
      <c r="H281" t="inlineStr">
        <is>
          <t>✓</t>
        </is>
      </c>
    </row>
    <row r="282">
      <c r="A282" t="inlineStr">
        <is>
          <t>L_PHA3_ROI</t>
        </is>
      </c>
      <c r="B282" t="n">
        <v>-4.17</v>
      </c>
      <c r="C282" t="n">
        <v>821</v>
      </c>
      <c r="D282" t="inlineStr">
        <is>
          <t>&lt; .001</t>
        </is>
      </c>
      <c r="E282" t="n">
        <v>-0.29</v>
      </c>
      <c r="F282" t="inlineStr">
        <is>
          <t>[-0.43, -0.15]</t>
        </is>
      </c>
      <c r="G282" t="inlineStr">
        <is>
          <t>&lt; .001</t>
        </is>
      </c>
      <c r="H282" t="inlineStr">
        <is>
          <t>✓</t>
        </is>
      </c>
    </row>
    <row r="283">
      <c r="A283" t="inlineStr">
        <is>
          <t>L_STSda_ROI</t>
        </is>
      </c>
      <c r="B283" t="n">
        <v>-3.22</v>
      </c>
      <c r="C283" t="n">
        <v>821</v>
      </c>
      <c r="D283">
        <f> 0.001</f>
        <v/>
      </c>
      <c r="E283" t="n">
        <v>-0.22</v>
      </c>
      <c r="F283" t="inlineStr">
        <is>
          <t>[-0.36, -0.09]</t>
        </is>
      </c>
      <c r="G283">
        <f> 0.002</f>
        <v/>
      </c>
      <c r="H283" t="inlineStr">
        <is>
          <t>✓</t>
        </is>
      </c>
    </row>
    <row r="284">
      <c r="A284" t="inlineStr">
        <is>
          <t>L_STSdp_ROI</t>
        </is>
      </c>
      <c r="B284" t="n">
        <v>-3.75</v>
      </c>
      <c r="C284" t="n">
        <v>821</v>
      </c>
      <c r="D284" t="inlineStr">
        <is>
          <t>&lt; .001</t>
        </is>
      </c>
      <c r="E284" t="n">
        <v>-0.26</v>
      </c>
      <c r="F284" t="inlineStr">
        <is>
          <t>[-0.40, -0.12]</t>
        </is>
      </c>
      <c r="G284" t="inlineStr">
        <is>
          <t>&lt; .001</t>
        </is>
      </c>
      <c r="H284" t="inlineStr">
        <is>
          <t>✓</t>
        </is>
      </c>
    </row>
    <row r="285">
      <c r="A285" t="inlineStr">
        <is>
          <t>L_STSvp_ROI</t>
        </is>
      </c>
      <c r="B285" t="n">
        <v>-3.78</v>
      </c>
      <c r="C285" t="n">
        <v>821</v>
      </c>
      <c r="D285" t="inlineStr">
        <is>
          <t>&lt; .001</t>
        </is>
      </c>
      <c r="E285" t="n">
        <v>-0.26</v>
      </c>
      <c r="F285" t="inlineStr">
        <is>
          <t>[-0.40, -0.13]</t>
        </is>
      </c>
      <c r="G285" t="inlineStr">
        <is>
          <t>&lt; .001</t>
        </is>
      </c>
      <c r="H285" t="inlineStr">
        <is>
          <t>✓</t>
        </is>
      </c>
    </row>
    <row r="286">
      <c r="A286" t="inlineStr">
        <is>
          <t>L_TGd_ROI</t>
        </is>
      </c>
      <c r="B286" t="n">
        <v>-4.05</v>
      </c>
      <c r="C286" t="n">
        <v>821</v>
      </c>
      <c r="D286" t="inlineStr">
        <is>
          <t>&lt; .001</t>
        </is>
      </c>
      <c r="E286" t="n">
        <v>-0.28</v>
      </c>
      <c r="F286" t="inlineStr">
        <is>
          <t>[-0.42, -0.15]</t>
        </is>
      </c>
      <c r="G286" t="inlineStr">
        <is>
          <t>&lt; .001</t>
        </is>
      </c>
      <c r="H286" t="inlineStr">
        <is>
          <t>✓</t>
        </is>
      </c>
    </row>
    <row r="287">
      <c r="A287" t="inlineStr">
        <is>
          <t>L_TE1a_ROI</t>
        </is>
      </c>
      <c r="B287" t="n">
        <v>-3.04</v>
      </c>
      <c r="C287" t="n">
        <v>821</v>
      </c>
      <c r="D287">
        <f> 0.002</f>
        <v/>
      </c>
      <c r="E287" t="n">
        <v>-0.21</v>
      </c>
      <c r="F287" t="inlineStr">
        <is>
          <t>[-0.35, -0.07]</t>
        </is>
      </c>
      <c r="G287">
        <f> 0.003</f>
        <v/>
      </c>
      <c r="H287" t="inlineStr">
        <is>
          <t>✓</t>
        </is>
      </c>
    </row>
    <row r="288">
      <c r="A288" t="inlineStr">
        <is>
          <t>L_TE1p_ROI</t>
        </is>
      </c>
      <c r="B288" t="n">
        <v>-2.85</v>
      </c>
      <c r="C288" t="n">
        <v>821</v>
      </c>
      <c r="D288">
        <f> 0.005</f>
        <v/>
      </c>
      <c r="E288" t="n">
        <v>-0.2</v>
      </c>
      <c r="F288" t="inlineStr">
        <is>
          <t>[-0.34, -0.06]</t>
        </is>
      </c>
      <c r="G288">
        <f> 0.006</f>
        <v/>
      </c>
      <c r="H288" t="inlineStr">
        <is>
          <t>✓</t>
        </is>
      </c>
    </row>
    <row r="289">
      <c r="A289" t="inlineStr">
        <is>
          <t>L_TF_ROI</t>
        </is>
      </c>
      <c r="B289" t="n">
        <v>-2.45</v>
      </c>
      <c r="C289" t="n">
        <v>821</v>
      </c>
      <c r="D289">
        <f> 0.015</f>
        <v/>
      </c>
      <c r="E289" t="n">
        <v>-0.17</v>
      </c>
      <c r="F289" t="inlineStr">
        <is>
          <t>[-0.31, -0.03]</t>
        </is>
      </c>
      <c r="G289">
        <f> 0.017</f>
        <v/>
      </c>
      <c r="H289" t="inlineStr">
        <is>
          <t>✓</t>
        </is>
      </c>
    </row>
    <row r="290">
      <c r="A290" t="inlineStr">
        <is>
          <t>L_PHT_ROI</t>
        </is>
      </c>
      <c r="B290" t="n">
        <v>-3.99</v>
      </c>
      <c r="C290" t="n">
        <v>821</v>
      </c>
      <c r="D290" t="inlineStr">
        <is>
          <t>&lt; .001</t>
        </is>
      </c>
      <c r="E290" t="n">
        <v>-0.28</v>
      </c>
      <c r="F290" t="inlineStr">
        <is>
          <t>[-0.42, -0.14]</t>
        </is>
      </c>
      <c r="G290" t="inlineStr">
        <is>
          <t>&lt; .001</t>
        </is>
      </c>
      <c r="H290" t="inlineStr">
        <is>
          <t>✓</t>
        </is>
      </c>
    </row>
    <row r="291">
      <c r="A291" t="inlineStr">
        <is>
          <t>L_PH_ROI</t>
        </is>
      </c>
      <c r="B291" t="n">
        <v>-2.92</v>
      </c>
      <c r="C291" t="n">
        <v>821</v>
      </c>
      <c r="D291">
        <f> 0.004</f>
        <v/>
      </c>
      <c r="E291" t="n">
        <v>-0.2</v>
      </c>
      <c r="F291" t="inlineStr">
        <is>
          <t>[-0.34, -0.07]</t>
        </is>
      </c>
      <c r="G291">
        <f> 0.005</f>
        <v/>
      </c>
      <c r="H291" t="inlineStr">
        <is>
          <t>✓</t>
        </is>
      </c>
    </row>
    <row r="292">
      <c r="A292" t="inlineStr">
        <is>
          <t>L_TPOJ1_ROI</t>
        </is>
      </c>
      <c r="B292" t="n">
        <v>-3.74</v>
      </c>
      <c r="C292" t="n">
        <v>821</v>
      </c>
      <c r="D292" t="inlineStr">
        <is>
          <t>&lt; .001</t>
        </is>
      </c>
      <c r="E292" t="n">
        <v>-0.26</v>
      </c>
      <c r="F292" t="inlineStr">
        <is>
          <t>[-0.40, -0.12]</t>
        </is>
      </c>
      <c r="G292" t="inlineStr">
        <is>
          <t>&lt; .001</t>
        </is>
      </c>
      <c r="H292" t="inlineStr">
        <is>
          <t>✓</t>
        </is>
      </c>
    </row>
    <row r="293">
      <c r="A293" t="inlineStr">
        <is>
          <t>L_TPOJ2_ROI</t>
        </is>
      </c>
      <c r="B293" t="n">
        <v>-4.05</v>
      </c>
      <c r="C293" t="n">
        <v>821</v>
      </c>
      <c r="D293" t="inlineStr">
        <is>
          <t>&lt; .001</t>
        </is>
      </c>
      <c r="E293" t="n">
        <v>-0.28</v>
      </c>
      <c r="F293" t="inlineStr">
        <is>
          <t>[-0.42, -0.15]</t>
        </is>
      </c>
      <c r="G293" t="inlineStr">
        <is>
          <t>&lt; .001</t>
        </is>
      </c>
      <c r="H293" t="inlineStr">
        <is>
          <t>✓</t>
        </is>
      </c>
    </row>
    <row r="294">
      <c r="A294" t="inlineStr">
        <is>
          <t>L_TPOJ3_ROI</t>
        </is>
      </c>
      <c r="B294" t="n">
        <v>-2.59</v>
      </c>
      <c r="C294" t="n">
        <v>821</v>
      </c>
      <c r="D294">
        <f> 0.010</f>
        <v/>
      </c>
      <c r="E294" t="n">
        <v>-0.18</v>
      </c>
      <c r="F294" t="inlineStr">
        <is>
          <t>[-0.32, -0.04]</t>
        </is>
      </c>
      <c r="G294">
        <f> 0.012</f>
        <v/>
      </c>
      <c r="H294" t="inlineStr">
        <is>
          <t>✓</t>
        </is>
      </c>
    </row>
    <row r="295">
      <c r="A295" t="inlineStr">
        <is>
          <t>L_DVT_ROI</t>
        </is>
      </c>
      <c r="B295" t="n">
        <v>-2.91</v>
      </c>
      <c r="C295" t="n">
        <v>821</v>
      </c>
      <c r="D295">
        <f> 0.004</f>
        <v/>
      </c>
      <c r="E295" t="n">
        <v>-0.2</v>
      </c>
      <c r="F295" t="inlineStr">
        <is>
          <t>[-0.34, -0.07]</t>
        </is>
      </c>
      <c r="G295">
        <f> 0.005</f>
        <v/>
      </c>
      <c r="H295" t="inlineStr">
        <is>
          <t>✓</t>
        </is>
      </c>
    </row>
    <row r="296">
      <c r="A296" t="inlineStr">
        <is>
          <t>L_PGp_ROI</t>
        </is>
      </c>
      <c r="B296" t="n">
        <v>-3.89</v>
      </c>
      <c r="C296" t="n">
        <v>821</v>
      </c>
      <c r="D296" t="inlineStr">
        <is>
          <t>&lt; .001</t>
        </is>
      </c>
      <c r="E296" t="n">
        <v>-0.27</v>
      </c>
      <c r="F296" t="inlineStr">
        <is>
          <t>[-0.41, -0.13]</t>
        </is>
      </c>
      <c r="G296" t="inlineStr">
        <is>
          <t>&lt; .001</t>
        </is>
      </c>
      <c r="H296" t="inlineStr">
        <is>
          <t>✓</t>
        </is>
      </c>
    </row>
    <row r="297">
      <c r="A297" t="inlineStr">
        <is>
          <t>L_IP2_ROI</t>
        </is>
      </c>
      <c r="B297" t="n">
        <v>-4.2</v>
      </c>
      <c r="C297" t="n">
        <v>821</v>
      </c>
      <c r="D297" t="inlineStr">
        <is>
          <t>&lt; .001</t>
        </is>
      </c>
      <c r="E297" t="n">
        <v>-0.29</v>
      </c>
      <c r="F297" t="inlineStr">
        <is>
          <t>[-0.43, -0.16]</t>
        </is>
      </c>
      <c r="G297" t="inlineStr">
        <is>
          <t>&lt; .001</t>
        </is>
      </c>
      <c r="H297" t="inlineStr">
        <is>
          <t>✓</t>
        </is>
      </c>
    </row>
    <row r="298">
      <c r="A298" t="inlineStr">
        <is>
          <t>L_IP1_ROI</t>
        </is>
      </c>
      <c r="B298" t="n">
        <v>-4.13</v>
      </c>
      <c r="C298" t="n">
        <v>821</v>
      </c>
      <c r="D298" t="inlineStr">
        <is>
          <t>&lt; .001</t>
        </is>
      </c>
      <c r="E298" t="n">
        <v>-0.29</v>
      </c>
      <c r="F298" t="inlineStr">
        <is>
          <t>[-0.43, -0.15]</t>
        </is>
      </c>
      <c r="G298" t="inlineStr">
        <is>
          <t>&lt; .001</t>
        </is>
      </c>
      <c r="H298" t="inlineStr">
        <is>
          <t>✓</t>
        </is>
      </c>
    </row>
    <row r="299">
      <c r="A299" t="inlineStr">
        <is>
          <t>L_IP0_ROI</t>
        </is>
      </c>
      <c r="B299" t="n">
        <v>-3.68</v>
      </c>
      <c r="C299" t="n">
        <v>821</v>
      </c>
      <c r="D299" t="inlineStr">
        <is>
          <t>&lt; .001</t>
        </is>
      </c>
      <c r="E299" t="n">
        <v>-0.26</v>
      </c>
      <c r="F299" t="inlineStr">
        <is>
          <t>[-0.39, -0.12]</t>
        </is>
      </c>
      <c r="G299" t="inlineStr">
        <is>
          <t>&lt; .001</t>
        </is>
      </c>
      <c r="H299" t="inlineStr">
        <is>
          <t>✓</t>
        </is>
      </c>
    </row>
    <row r="300">
      <c r="A300" t="inlineStr">
        <is>
          <t>L_PFop_ROI</t>
        </is>
      </c>
      <c r="B300" t="n">
        <v>-3.87</v>
      </c>
      <c r="C300" t="n">
        <v>821</v>
      </c>
      <c r="D300" t="inlineStr">
        <is>
          <t>&lt; .001</t>
        </is>
      </c>
      <c r="E300" t="n">
        <v>-0.27</v>
      </c>
      <c r="F300" t="inlineStr">
        <is>
          <t>[-0.41, -0.13]</t>
        </is>
      </c>
      <c r="G300" t="inlineStr">
        <is>
          <t>&lt; .001</t>
        </is>
      </c>
      <c r="H300" t="inlineStr">
        <is>
          <t>✓</t>
        </is>
      </c>
    </row>
    <row r="301">
      <c r="A301" t="inlineStr">
        <is>
          <t>L_PF_ROI</t>
        </is>
      </c>
      <c r="B301" t="n">
        <v>-4.85</v>
      </c>
      <c r="C301" t="n">
        <v>821</v>
      </c>
      <c r="D301" t="inlineStr">
        <is>
          <t>&lt; .001</t>
        </is>
      </c>
      <c r="E301" t="n">
        <v>-0.34</v>
      </c>
      <c r="F301" t="inlineStr">
        <is>
          <t>[-0.48, -0.20]</t>
        </is>
      </c>
      <c r="G301" t="inlineStr">
        <is>
          <t>&lt; .001</t>
        </is>
      </c>
      <c r="H301" t="inlineStr">
        <is>
          <t>✓</t>
        </is>
      </c>
    </row>
    <row r="302">
      <c r="A302" t="inlineStr">
        <is>
          <t>L_PFm_ROI</t>
        </is>
      </c>
      <c r="B302" t="n">
        <v>-5.02</v>
      </c>
      <c r="C302" t="n">
        <v>821</v>
      </c>
      <c r="D302" t="inlineStr">
        <is>
          <t>&lt; .001</t>
        </is>
      </c>
      <c r="E302" t="n">
        <v>-0.35</v>
      </c>
      <c r="F302" t="inlineStr">
        <is>
          <t>[-0.49, -0.21]</t>
        </is>
      </c>
      <c r="G302" t="inlineStr">
        <is>
          <t>&lt; .001</t>
        </is>
      </c>
      <c r="H302" t="inlineStr">
        <is>
          <t>✓</t>
        </is>
      </c>
    </row>
    <row r="303">
      <c r="A303" t="inlineStr">
        <is>
          <t>L_PGi_ROI</t>
        </is>
      </c>
      <c r="B303" t="n">
        <v>-4.71</v>
      </c>
      <c r="C303" t="n">
        <v>821</v>
      </c>
      <c r="D303" t="inlineStr">
        <is>
          <t>&lt; .001</t>
        </is>
      </c>
      <c r="E303" t="n">
        <v>-0.33</v>
      </c>
      <c r="F303" t="inlineStr">
        <is>
          <t>[-0.47, -0.19]</t>
        </is>
      </c>
      <c r="G303" t="inlineStr">
        <is>
          <t>&lt; .001</t>
        </is>
      </c>
      <c r="H303" t="inlineStr">
        <is>
          <t>✓</t>
        </is>
      </c>
    </row>
    <row r="304">
      <c r="A304" t="inlineStr">
        <is>
          <t>L_PGs_ROI</t>
        </is>
      </c>
      <c r="B304" t="n">
        <v>-4.96</v>
      </c>
      <c r="C304" t="n">
        <v>821</v>
      </c>
      <c r="D304" t="inlineStr">
        <is>
          <t>&lt; .001</t>
        </is>
      </c>
      <c r="E304" t="n">
        <v>-0.35</v>
      </c>
      <c r="F304" t="inlineStr">
        <is>
          <t>[-0.48, -0.21]</t>
        </is>
      </c>
      <c r="G304" t="inlineStr">
        <is>
          <t>&lt; .001</t>
        </is>
      </c>
      <c r="H304" t="inlineStr">
        <is>
          <t>✓</t>
        </is>
      </c>
    </row>
    <row r="305">
      <c r="A305" t="inlineStr">
        <is>
          <t>L_V6A_ROI</t>
        </is>
      </c>
      <c r="B305" t="n">
        <v>-2.23</v>
      </c>
      <c r="C305" t="n">
        <v>821</v>
      </c>
      <c r="D305">
        <f> 0.026</f>
        <v/>
      </c>
      <c r="E305" t="n">
        <v>-0.16</v>
      </c>
      <c r="F305" t="inlineStr">
        <is>
          <t>[-0.29, -0.02]</t>
        </is>
      </c>
      <c r="G305">
        <f> 0.030</f>
        <v/>
      </c>
      <c r="H305" t="inlineStr">
        <is>
          <t>✓</t>
        </is>
      </c>
    </row>
    <row r="306">
      <c r="A306" t="inlineStr">
        <is>
          <t>L_VMV1_ROI</t>
        </is>
      </c>
      <c r="B306" t="n">
        <v>-4.66</v>
      </c>
      <c r="C306" t="n">
        <v>821</v>
      </c>
      <c r="D306" t="inlineStr">
        <is>
          <t>&lt; .001</t>
        </is>
      </c>
      <c r="E306" t="n">
        <v>-0.33</v>
      </c>
      <c r="F306" t="inlineStr">
        <is>
          <t>[-0.46, -0.19]</t>
        </is>
      </c>
      <c r="G306" t="inlineStr">
        <is>
          <t>&lt; .001</t>
        </is>
      </c>
      <c r="H306" t="inlineStr">
        <is>
          <t>✓</t>
        </is>
      </c>
    </row>
    <row r="307">
      <c r="A307" t="inlineStr">
        <is>
          <t>L_VMV3_ROI</t>
        </is>
      </c>
      <c r="B307" t="n">
        <v>-3.27</v>
      </c>
      <c r="C307" t="n">
        <v>821</v>
      </c>
      <c r="D307">
        <f> 0.001</f>
        <v/>
      </c>
      <c r="E307" t="n">
        <v>-0.23</v>
      </c>
      <c r="F307" t="inlineStr">
        <is>
          <t>[-0.37, -0.09]</t>
        </is>
      </c>
      <c r="G307">
        <f> 0.002</f>
        <v/>
      </c>
      <c r="H307" t="inlineStr">
        <is>
          <t>✓</t>
        </is>
      </c>
    </row>
    <row r="308">
      <c r="A308" t="inlineStr">
        <is>
          <t>L_PHA2_ROI</t>
        </is>
      </c>
      <c r="B308" t="n">
        <v>-4.39</v>
      </c>
      <c r="C308" t="n">
        <v>821</v>
      </c>
      <c r="D308" t="inlineStr">
        <is>
          <t>&lt; .001</t>
        </is>
      </c>
      <c r="E308" t="n">
        <v>-0.31</v>
      </c>
      <c r="F308" t="inlineStr">
        <is>
          <t>[-0.44, -0.17]</t>
        </is>
      </c>
      <c r="G308" t="inlineStr">
        <is>
          <t>&lt; .001</t>
        </is>
      </c>
      <c r="H308" t="inlineStr">
        <is>
          <t>✓</t>
        </is>
      </c>
    </row>
    <row r="309">
      <c r="A309" t="inlineStr">
        <is>
          <t>L_V4t_ROI</t>
        </is>
      </c>
      <c r="B309" t="n">
        <v>-3.82</v>
      </c>
      <c r="C309" t="n">
        <v>821</v>
      </c>
      <c r="D309" t="inlineStr">
        <is>
          <t>&lt; .001</t>
        </is>
      </c>
      <c r="E309" t="n">
        <v>-0.27</v>
      </c>
      <c r="F309" t="inlineStr">
        <is>
          <t>[-0.40, -0.13]</t>
        </is>
      </c>
      <c r="G309" t="inlineStr">
        <is>
          <t>&lt; .001</t>
        </is>
      </c>
      <c r="H309" t="inlineStr">
        <is>
          <t>✓</t>
        </is>
      </c>
    </row>
    <row r="310">
      <c r="A310" t="inlineStr">
        <is>
          <t>L_FST_ROI</t>
        </is>
      </c>
      <c r="B310" t="n">
        <v>-3.41</v>
      </c>
      <c r="C310" t="n">
        <v>821</v>
      </c>
      <c r="D310" t="inlineStr">
        <is>
          <t>&lt; .001</t>
        </is>
      </c>
      <c r="E310" t="n">
        <v>-0.24</v>
      </c>
      <c r="F310" t="inlineStr">
        <is>
          <t>[-0.38, -0.10]</t>
        </is>
      </c>
      <c r="G310">
        <f> 0.001</f>
        <v/>
      </c>
      <c r="H310" t="inlineStr">
        <is>
          <t>✓</t>
        </is>
      </c>
    </row>
    <row r="311">
      <c r="A311" t="inlineStr">
        <is>
          <t>L_V3CD_ROI</t>
        </is>
      </c>
      <c r="B311" t="n">
        <v>-3.97</v>
      </c>
      <c r="C311" t="n">
        <v>821</v>
      </c>
      <c r="D311" t="inlineStr">
        <is>
          <t>&lt; .001</t>
        </is>
      </c>
      <c r="E311" t="n">
        <v>-0.28</v>
      </c>
      <c r="F311" t="inlineStr">
        <is>
          <t>[-0.41, -0.14]</t>
        </is>
      </c>
      <c r="G311" t="inlineStr">
        <is>
          <t>&lt; .001</t>
        </is>
      </c>
      <c r="H311" t="inlineStr">
        <is>
          <t>✓</t>
        </is>
      </c>
    </row>
    <row r="312">
      <c r="A312" t="inlineStr">
        <is>
          <t>L_LO3_ROI</t>
        </is>
      </c>
      <c r="B312" t="n">
        <v>-2.91</v>
      </c>
      <c r="C312" t="n">
        <v>821</v>
      </c>
      <c r="D312">
        <f> 0.004</f>
        <v/>
      </c>
      <c r="E312" t="n">
        <v>-0.2</v>
      </c>
      <c r="F312" t="inlineStr">
        <is>
          <t>[-0.34, -0.07]</t>
        </is>
      </c>
      <c r="G312">
        <f> 0.005</f>
        <v/>
      </c>
      <c r="H312" t="inlineStr">
        <is>
          <t>✓</t>
        </is>
      </c>
    </row>
    <row r="313">
      <c r="A313" t="inlineStr">
        <is>
          <t>L_VMV2_ROI</t>
        </is>
      </c>
      <c r="B313" t="n">
        <v>-5.06</v>
      </c>
      <c r="C313" t="n">
        <v>821</v>
      </c>
      <c r="D313" t="inlineStr">
        <is>
          <t>&lt; .001</t>
        </is>
      </c>
      <c r="E313" t="n">
        <v>-0.35</v>
      </c>
      <c r="F313" t="inlineStr">
        <is>
          <t>[-0.49, -0.21]</t>
        </is>
      </c>
      <c r="G313" t="inlineStr">
        <is>
          <t>&lt; .001</t>
        </is>
      </c>
      <c r="H313" t="inlineStr">
        <is>
          <t>✓</t>
        </is>
      </c>
    </row>
    <row r="314">
      <c r="A314" t="inlineStr">
        <is>
          <t>L_31pd_ROI</t>
        </is>
      </c>
      <c r="B314" t="n">
        <v>-3.71</v>
      </c>
      <c r="C314" t="n">
        <v>821</v>
      </c>
      <c r="D314" t="inlineStr">
        <is>
          <t>&lt; .001</t>
        </is>
      </c>
      <c r="E314" t="n">
        <v>-0.26</v>
      </c>
      <c r="F314" t="inlineStr">
        <is>
          <t>[-0.40, -0.12]</t>
        </is>
      </c>
      <c r="G314" t="inlineStr">
        <is>
          <t>&lt; .001</t>
        </is>
      </c>
      <c r="H314" t="inlineStr">
        <is>
          <t>✓</t>
        </is>
      </c>
    </row>
    <row r="315">
      <c r="A315" t="inlineStr">
        <is>
          <t>L_31a_ROI</t>
        </is>
      </c>
      <c r="B315" t="n">
        <v>-3.25</v>
      </c>
      <c r="C315" t="n">
        <v>821</v>
      </c>
      <c r="D315">
        <f> 0.001</f>
        <v/>
      </c>
      <c r="E315" t="n">
        <v>-0.23</v>
      </c>
      <c r="F315" t="inlineStr">
        <is>
          <t>[-0.36, -0.09]</t>
        </is>
      </c>
      <c r="G315">
        <f> 0.002</f>
        <v/>
      </c>
      <c r="H315" t="inlineStr">
        <is>
          <t>✓</t>
        </is>
      </c>
    </row>
    <row r="316">
      <c r="A316" t="inlineStr">
        <is>
          <t>L_25_ROI</t>
        </is>
      </c>
      <c r="B316" t="n">
        <v>-2.87</v>
      </c>
      <c r="C316" t="n">
        <v>821</v>
      </c>
      <c r="D316">
        <f> 0.004</f>
        <v/>
      </c>
      <c r="E316" t="n">
        <v>-0.2</v>
      </c>
      <c r="F316" t="inlineStr">
        <is>
          <t>[-0.34, -0.06]</t>
        </is>
      </c>
      <c r="G316">
        <f> 0.006</f>
        <v/>
      </c>
      <c r="H316" t="inlineStr">
        <is>
          <t>✓</t>
        </is>
      </c>
    </row>
    <row r="317">
      <c r="A317" t="inlineStr">
        <is>
          <t>L_pOFC_ROI</t>
        </is>
      </c>
      <c r="B317" t="n">
        <v>-4.14</v>
      </c>
      <c r="C317" t="n">
        <v>821</v>
      </c>
      <c r="D317" t="inlineStr">
        <is>
          <t>&lt; .001</t>
        </is>
      </c>
      <c r="E317" t="n">
        <v>-0.29</v>
      </c>
      <c r="F317" t="inlineStr">
        <is>
          <t>[-0.43, -0.15]</t>
        </is>
      </c>
      <c r="G317" t="inlineStr">
        <is>
          <t>&lt; .001</t>
        </is>
      </c>
      <c r="H317" t="inlineStr">
        <is>
          <t>✓</t>
        </is>
      </c>
    </row>
    <row r="318">
      <c r="A318" t="inlineStr">
        <is>
          <t>L_Ig_ROI</t>
        </is>
      </c>
      <c r="B318" t="n">
        <v>-3.57</v>
      </c>
      <c r="C318" t="n">
        <v>821</v>
      </c>
      <c r="D318" t="inlineStr">
        <is>
          <t>&lt; .001</t>
        </is>
      </c>
      <c r="E318" t="n">
        <v>-0.25</v>
      </c>
      <c r="F318" t="inlineStr">
        <is>
          <t>[-0.39, -0.11]</t>
        </is>
      </c>
      <c r="G318" t="inlineStr">
        <is>
          <t>&lt; .001</t>
        </is>
      </c>
      <c r="H318" t="inlineStr">
        <is>
          <t>✓</t>
        </is>
      </c>
    </row>
    <row r="319">
      <c r="A319" t="inlineStr">
        <is>
          <t>L_FOP5_ROI</t>
        </is>
      </c>
      <c r="B319" t="n">
        <v>-3.71</v>
      </c>
      <c r="C319" t="n">
        <v>821</v>
      </c>
      <c r="D319" t="inlineStr">
        <is>
          <t>&lt; .001</t>
        </is>
      </c>
      <c r="E319" t="n">
        <v>-0.26</v>
      </c>
      <c r="F319" t="inlineStr">
        <is>
          <t>[-0.40, -0.12]</t>
        </is>
      </c>
      <c r="G319" t="inlineStr">
        <is>
          <t>&lt; .001</t>
        </is>
      </c>
      <c r="H319" t="inlineStr">
        <is>
          <t>✓</t>
        </is>
      </c>
    </row>
    <row r="320">
      <c r="A320" t="inlineStr">
        <is>
          <t>L_p10p_ROI</t>
        </is>
      </c>
      <c r="B320" t="n">
        <v>-2.18</v>
      </c>
      <c r="C320" t="n">
        <v>821</v>
      </c>
      <c r="D320">
        <f> 0.029</f>
        <v/>
      </c>
      <c r="E320" t="n">
        <v>-0.15</v>
      </c>
      <c r="F320" t="inlineStr">
        <is>
          <t>[-0.29, -0.02]</t>
        </is>
      </c>
      <c r="G320">
        <f> 0.033</f>
        <v/>
      </c>
      <c r="H320" t="inlineStr">
        <is>
          <t>✓</t>
        </is>
      </c>
    </row>
    <row r="321">
      <c r="A321" t="inlineStr">
        <is>
          <t>L_p47r_ROI</t>
        </is>
      </c>
      <c r="B321" t="n">
        <v>-2.05</v>
      </c>
      <c r="C321" t="n">
        <v>821</v>
      </c>
      <c r="D321">
        <f> 0.040</f>
        <v/>
      </c>
      <c r="E321" t="n">
        <v>-0.14</v>
      </c>
      <c r="F321" t="inlineStr">
        <is>
          <t>[-0.28, -0.01]</t>
        </is>
      </c>
      <c r="G321">
        <f> 0.044</f>
        <v/>
      </c>
      <c r="H321" t="inlineStr">
        <is>
          <t>✓</t>
        </is>
      </c>
    </row>
    <row r="322">
      <c r="A322" t="inlineStr">
        <is>
          <t>L_TGv_ROI</t>
        </is>
      </c>
      <c r="B322" t="n">
        <v>-2.12</v>
      </c>
      <c r="C322" t="n">
        <v>821</v>
      </c>
      <c r="D322">
        <f> 0.034</f>
        <v/>
      </c>
      <c r="E322" t="n">
        <v>-0.15</v>
      </c>
      <c r="F322" t="inlineStr">
        <is>
          <t>[-0.28, -0.01]</t>
        </is>
      </c>
      <c r="G322">
        <f> 0.038</f>
        <v/>
      </c>
      <c r="H322" t="inlineStr">
        <is>
          <t>✓</t>
        </is>
      </c>
    </row>
    <row r="323">
      <c r="A323" t="inlineStr">
        <is>
          <t>L_MBelt_ROI</t>
        </is>
      </c>
      <c r="B323" t="n">
        <v>-2.91</v>
      </c>
      <c r="C323" t="n">
        <v>821</v>
      </c>
      <c r="D323">
        <f> 0.004</f>
        <v/>
      </c>
      <c r="E323" t="n">
        <v>-0.2</v>
      </c>
      <c r="F323" t="inlineStr">
        <is>
          <t>[-0.34, -0.07]</t>
        </is>
      </c>
      <c r="G323">
        <f> 0.005</f>
        <v/>
      </c>
      <c r="H323" t="inlineStr">
        <is>
          <t>✓</t>
        </is>
      </c>
    </row>
    <row r="324">
      <c r="A324" t="inlineStr">
        <is>
          <t>L_LBelt_ROI</t>
        </is>
      </c>
      <c r="B324" t="n">
        <v>-4.91</v>
      </c>
      <c r="C324" t="n">
        <v>821</v>
      </c>
      <c r="D324" t="inlineStr">
        <is>
          <t>&lt; .001</t>
        </is>
      </c>
      <c r="E324" t="n">
        <v>-0.34</v>
      </c>
      <c r="F324" t="inlineStr">
        <is>
          <t>[-0.48, -0.20]</t>
        </is>
      </c>
      <c r="G324" t="inlineStr">
        <is>
          <t>&lt; .001</t>
        </is>
      </c>
      <c r="H324" t="inlineStr">
        <is>
          <t>✓</t>
        </is>
      </c>
    </row>
    <row r="325">
      <c r="A325" t="inlineStr">
        <is>
          <t>L_A4_ROI</t>
        </is>
      </c>
      <c r="B325" t="n">
        <v>-4.05</v>
      </c>
      <c r="C325" t="n">
        <v>821</v>
      </c>
      <c r="D325" t="inlineStr">
        <is>
          <t>&lt; .001</t>
        </is>
      </c>
      <c r="E325" t="n">
        <v>-0.28</v>
      </c>
      <c r="F325" t="inlineStr">
        <is>
          <t>[-0.42, -0.14]</t>
        </is>
      </c>
      <c r="G325" t="inlineStr">
        <is>
          <t>&lt; .001</t>
        </is>
      </c>
      <c r="H325" t="inlineStr">
        <is>
          <t>✓</t>
        </is>
      </c>
    </row>
    <row r="326">
      <c r="A326" t="inlineStr">
        <is>
          <t>L_TE1m_ROI</t>
        </is>
      </c>
      <c r="B326" t="n">
        <v>-2.21</v>
      </c>
      <c r="C326" t="n">
        <v>821</v>
      </c>
      <c r="D326">
        <f> 0.027</f>
        <v/>
      </c>
      <c r="E326" t="n">
        <v>-0.15</v>
      </c>
      <c r="F326" t="inlineStr">
        <is>
          <t>[-0.29, -0.02]</t>
        </is>
      </c>
      <c r="G326">
        <f> 0.031</f>
        <v/>
      </c>
      <c r="H326" t="inlineStr">
        <is>
          <t>✓</t>
        </is>
      </c>
    </row>
    <row r="327">
      <c r="A327" t="inlineStr">
        <is>
          <t>L_PI_ROI</t>
        </is>
      </c>
      <c r="B327" t="n">
        <v>-2.54</v>
      </c>
      <c r="C327" t="n">
        <v>821</v>
      </c>
      <c r="D327">
        <f> 0.011</f>
        <v/>
      </c>
      <c r="E327" t="n">
        <v>-0.18</v>
      </c>
      <c r="F327" t="inlineStr">
        <is>
          <t>[-0.31, -0.04]</t>
        </is>
      </c>
      <c r="G327">
        <f> 0.014</f>
        <v/>
      </c>
      <c r="H327" t="inlineStr">
        <is>
          <t>✓</t>
        </is>
      </c>
    </row>
    <row r="328">
      <c r="A328" t="inlineStr">
        <is>
          <t>L_a32pr_ROI</t>
        </is>
      </c>
      <c r="B328" t="n">
        <v>-4.23</v>
      </c>
      <c r="C328" t="n">
        <v>821</v>
      </c>
      <c r="D328" t="inlineStr">
        <is>
          <t>&lt; .001</t>
        </is>
      </c>
      <c r="E328" t="n">
        <v>-0.3</v>
      </c>
      <c r="F328" t="inlineStr">
        <is>
          <t>[-0.43, -0.16]</t>
        </is>
      </c>
      <c r="G328" t="inlineStr">
        <is>
          <t>&lt; .001</t>
        </is>
      </c>
      <c r="H328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2026-02-23T06:41:08Z</dcterms:created>
  <dcterms:modified xsi:type="dcterms:W3CDTF">2026-02-23T06:41:08Z</dcterms:modified>
</cp:coreProperties>
</file>